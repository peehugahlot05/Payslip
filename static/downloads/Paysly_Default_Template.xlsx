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ehu\Downloads\"/>
    </mc:Choice>
  </mc:AlternateContent>
  <xr:revisionPtr revIDLastSave="0" documentId="13_ncr:1_{1E36BD24-7CA4-4596-BA87-B6E41418F7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ultants" sheetId="1" r:id="rId1"/>
  </sheets>
  <definedNames>
    <definedName name="_xlnm._FilterDatabase" localSheetId="0" hidden="1">Consultants!$A$4:$BD$687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687" i="1" l="1"/>
  <c r="AL686" i="1" l="1"/>
  <c r="AN686" i="1" s="1"/>
  <c r="P687" i="1" l="1"/>
  <c r="O687" i="1"/>
  <c r="N687" i="1"/>
  <c r="AG687" i="1"/>
  <c r="AH687" i="1"/>
  <c r="AF687" i="1"/>
  <c r="AC687" i="1"/>
  <c r="AA687" i="1"/>
  <c r="AS687" i="1"/>
  <c r="BA687" i="1"/>
  <c r="AX687" i="1"/>
  <c r="AW687" i="1"/>
  <c r="AM687" i="1"/>
  <c r="AI687" i="1"/>
  <c r="AV687" i="1" l="1"/>
  <c r="AT687" i="1" l="1"/>
  <c r="AR687" i="1"/>
  <c r="AJ687" i="1" l="1"/>
  <c r="T687" i="1"/>
  <c r="R687" i="1"/>
  <c r="S687" i="1" l="1"/>
  <c r="AY687" i="1"/>
  <c r="AR1" i="1" l="1"/>
  <c r="A687" i="1" l="1"/>
  <c r="AQ2" i="1"/>
  <c r="AR2" i="1" l="1"/>
  <c r="Y687" i="1" l="1"/>
  <c r="AQ687" i="1"/>
  <c r="U687" i="1" l="1"/>
  <c r="AU687" i="1"/>
  <c r="Q687" i="1" l="1"/>
  <c r="X687" i="1" l="1"/>
  <c r="Z687" i="1"/>
  <c r="V687" i="1"/>
  <c r="W687" i="1" l="1"/>
  <c r="AB687" i="1" l="1"/>
  <c r="AE687" i="1" l="1"/>
  <c r="AD687" i="1"/>
  <c r="AK687" i="1" l="1"/>
  <c r="AN687" i="1" l="1"/>
  <c r="AL68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RC</author>
    <author>FUTUREX_NEW4</author>
    <author>Futurex</author>
  </authors>
  <commentList>
    <comment ref="P4" authorId="0" shapeId="0" xr:uid="{2AB0A551-61C1-44FE-A8CA-8ECFC351E32C}">
      <text>
        <r>
          <rPr>
            <sz val="9"/>
            <color indexed="81"/>
            <rFont val="Tahoma"/>
            <family val="2"/>
          </rPr>
          <t xml:space="preserve">Recurring over and above Fees for specific employees. Pro-rated, LOP &amp; LOPR applicable
</t>
        </r>
      </text>
    </comment>
    <comment ref="Q4" authorId="1" shapeId="0" xr:uid="{59DBE5DF-8298-44D5-BF24-F4C06B52F1A6}">
      <text>
        <r>
          <rPr>
            <sz val="9"/>
            <color indexed="81"/>
            <rFont val="Tahoma"/>
            <family val="2"/>
          </rPr>
          <t>LOP &amp; Net of 5 hold days for New consultants
On hold 5 days &amp; LOP for F&amp;F</t>
        </r>
      </text>
    </comment>
    <comment ref="AS453" authorId="2" shapeId="0" xr:uid="{5160CEDE-952E-4178-BA83-9D418024277D}">
      <text>
        <r>
          <rPr>
            <b/>
            <sz val="9"/>
            <color indexed="81"/>
            <rFont val="Tahoma"/>
            <family val="2"/>
          </rPr>
          <t>Futurex:</t>
        </r>
        <r>
          <rPr>
            <sz val="9"/>
            <color indexed="81"/>
            <rFont val="Tahoma"/>
            <family val="2"/>
          </rPr>
          <t xml:space="preserve">
2 days LOP considered as arrear paydays LOP</t>
        </r>
      </text>
    </comment>
    <comment ref="AS454" authorId="2" shapeId="0" xr:uid="{97FD3691-9C59-4BDA-87A0-E13C54ECD9CE}">
      <text>
        <r>
          <rPr>
            <b/>
            <sz val="9"/>
            <color indexed="81"/>
            <rFont val="Tahoma"/>
            <family val="2"/>
          </rPr>
          <t>Futurex:</t>
        </r>
        <r>
          <rPr>
            <sz val="9"/>
            <color indexed="81"/>
            <rFont val="Tahoma"/>
            <family val="2"/>
          </rPr>
          <t xml:space="preserve">
2 days LOP considered as arrear paydays LOP</t>
        </r>
      </text>
    </comment>
    <comment ref="AS557" authorId="2" shapeId="0" xr:uid="{80A1BFF2-4140-4419-AD35-67F96BB63B33}">
      <text>
        <r>
          <rPr>
            <b/>
            <sz val="9"/>
            <color indexed="81"/>
            <rFont val="Tahoma"/>
            <family val="2"/>
          </rPr>
          <t>Futurex:</t>
        </r>
        <r>
          <rPr>
            <sz val="9"/>
            <color indexed="81"/>
            <rFont val="Tahoma"/>
            <family val="2"/>
          </rPr>
          <t xml:space="preserve">
5 days LOP considered as arrear paydays LOP</t>
        </r>
      </text>
    </comment>
    <comment ref="AS561" authorId="2" shapeId="0" xr:uid="{8DA3B6A8-C44A-4DDC-907A-46123F63EDE1}">
      <text>
        <r>
          <rPr>
            <b/>
            <sz val="9"/>
            <color indexed="81"/>
            <rFont val="Tahoma"/>
            <family val="2"/>
          </rPr>
          <t>Futurex:</t>
        </r>
        <r>
          <rPr>
            <sz val="9"/>
            <color indexed="81"/>
            <rFont val="Tahoma"/>
            <family val="2"/>
          </rPr>
          <t xml:space="preserve">
2 days LOP considered as arrear paydays LOP</t>
        </r>
      </text>
    </comment>
    <comment ref="AS685" authorId="2" shapeId="0" xr:uid="{5BD992D3-4E7B-4180-83DD-203D4168C309}">
      <text>
        <r>
          <rPr>
            <b/>
            <sz val="9"/>
            <color indexed="81"/>
            <rFont val="Tahoma"/>
            <family val="2"/>
          </rPr>
          <t>Futurex:</t>
        </r>
        <r>
          <rPr>
            <sz val="9"/>
            <color indexed="81"/>
            <rFont val="Tahoma"/>
            <family val="2"/>
          </rPr>
          <t xml:space="preserve">
LOP restricted till DOL</t>
        </r>
      </text>
    </comment>
  </commentList>
</comments>
</file>

<file path=xl/sharedStrings.xml><?xml version="1.0" encoding="utf-8"?>
<sst xmlns="http://schemas.openxmlformats.org/spreadsheetml/2006/main" count="59" uniqueCount="59">
  <si>
    <t>PAN No.</t>
  </si>
  <si>
    <t>Total</t>
  </si>
  <si>
    <t>Contract Start Date</t>
  </si>
  <si>
    <t>Contract End Date</t>
  </si>
  <si>
    <t>S. No.</t>
  </si>
  <si>
    <t>Incentive/ Bonus</t>
  </si>
  <si>
    <t>Consultant’s  Bank A/c No.</t>
  </si>
  <si>
    <t>Consultant’s  Bank Name</t>
  </si>
  <si>
    <t xml:space="preserve">Annual Fee </t>
  </si>
  <si>
    <t xml:space="preserve">Monthly Fee </t>
  </si>
  <si>
    <t>Remarks</t>
  </si>
  <si>
    <t>Pay Days</t>
  </si>
  <si>
    <t>Travel Reimbursement</t>
  </si>
  <si>
    <t>Consultant Status</t>
  </si>
  <si>
    <t>DOL</t>
  </si>
  <si>
    <t>Notice Recovery</t>
  </si>
  <si>
    <t>Other Deduction</t>
  </si>
  <si>
    <t>Category</t>
  </si>
  <si>
    <t>Total Pay Days</t>
  </si>
  <si>
    <t>F&amp;F 5 Days</t>
  </si>
  <si>
    <t>LOP</t>
  </si>
  <si>
    <t>Net Paydays</t>
  </si>
  <si>
    <t>NJ Hold days (Existing)</t>
  </si>
  <si>
    <t>Arrear NJ Hold days</t>
  </si>
  <si>
    <t>Total Arrear Days</t>
  </si>
  <si>
    <t>Net Arrear Days</t>
  </si>
  <si>
    <t>Arrear LOP days</t>
  </si>
  <si>
    <t>Arrear LOP Days</t>
  </si>
  <si>
    <t>Arrear Pay Days</t>
  </si>
  <si>
    <t>Arrear Fee</t>
  </si>
  <si>
    <t>Pay Days break-up</t>
  </si>
  <si>
    <t>Advance Recovery</t>
  </si>
  <si>
    <t>Total Deduction</t>
  </si>
  <si>
    <t>Financial Pendency</t>
  </si>
  <si>
    <t>Total Gross</t>
  </si>
  <si>
    <t>Total Payout</t>
  </si>
  <si>
    <t>TDS %</t>
  </si>
  <si>
    <t>New Area Allowance</t>
  </si>
  <si>
    <t>New Area Allowance Arrear</t>
  </si>
  <si>
    <t>Entitilement</t>
  </si>
  <si>
    <t>Notice Recovery Days</t>
  </si>
  <si>
    <t>Rent Deduction</t>
  </si>
  <si>
    <t>NJ Hold days Current Month</t>
  </si>
  <si>
    <t>Consultant’s  Bank A/c No.` IFSC Code</t>
  </si>
  <si>
    <t>For July'26 Fee</t>
  </si>
  <si>
    <t>Total Fee in July'26</t>
  </si>
  <si>
    <t>Total Payable in July'26</t>
  </si>
  <si>
    <t>Net Payment for July'26</t>
  </si>
  <si>
    <t>On hold Net Payment June'26</t>
  </si>
  <si>
    <t>Vendor's Code</t>
  </si>
  <si>
    <t>Vendor's Name</t>
  </si>
  <si>
    <t>For the Month New Area Allowance</t>
  </si>
  <si>
    <t>entitlement</t>
  </si>
  <si>
    <t>LOP days</t>
  </si>
  <si>
    <t>TDS @ 10%</t>
  </si>
  <si>
    <t>Location</t>
  </si>
  <si>
    <t>4th row reserved for Table headers (Month and year are dynamic fields, e.g- June'25, May'25, July'26</t>
  </si>
  <si>
    <r>
      <rPr>
        <b/>
        <sz val="12"/>
        <color theme="1"/>
        <rFont val="Calibri"/>
        <family val="2"/>
        <scheme val="minor"/>
      </rPr>
      <t>2nd and 3rd rows  reserved for Company's address (dynamic field)</t>
    </r>
    <r>
      <rPr>
        <b/>
        <i/>
        <sz val="12"/>
        <color theme="1"/>
        <rFont val="Calibri"/>
        <family val="2"/>
        <scheme val="minor"/>
      </rPr>
      <t xml:space="preserve">
</t>
    </r>
  </si>
  <si>
    <t>1st row reserved for Company Name (dynamic field), ex: XYZ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</si>
</sst>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indexed="81"/>
      <name val="Tahoma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0" fontId="1" fillId="0" borderId="0"/>
  </cellStyleXfs>
  <cellXfs count="93">
    <xf numFmtId="0" fontId="0" fillId="0" borderId="0" xfId="0"/>
    <xf numFmtId="0" fontId="3" fillId="0" borderId="0" xfId="0" applyFont="1" applyAlignment="1">
      <alignment horizontal="center" vertical="top"/>
    </xf>
    <xf numFmtId="165" fontId="3" fillId="0" borderId="0" xfId="1" applyNumberFormat="1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 vertical="top"/>
    </xf>
    <xf numFmtId="0" fontId="5" fillId="3" borderId="1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center" vertical="top"/>
    </xf>
    <xf numFmtId="1" fontId="5" fillId="3" borderId="1" xfId="1" applyNumberFormat="1" applyFont="1" applyFill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14" fontId="2" fillId="0" borderId="0" xfId="1" applyNumberFormat="1" applyFont="1" applyFill="1" applyBorder="1" applyAlignment="1">
      <alignment horizontal="left" vertical="top"/>
    </xf>
    <xf numFmtId="0" fontId="8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14" fontId="8" fillId="4" borderId="1" xfId="0" applyNumberFormat="1" applyFont="1" applyFill="1" applyBorder="1" applyAlignment="1">
      <alignment horizontal="center" wrapText="1"/>
    </xf>
    <xf numFmtId="1" fontId="8" fillId="0" borderId="1" xfId="1" applyNumberFormat="1" applyFont="1" applyFill="1" applyBorder="1" applyAlignment="1">
      <alignment horizontal="right"/>
    </xf>
    <xf numFmtId="1" fontId="8" fillId="5" borderId="1" xfId="0" applyNumberFormat="1" applyFont="1" applyFill="1" applyBorder="1" applyAlignment="1">
      <alignment horizontal="right"/>
    </xf>
    <xf numFmtId="0" fontId="8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horizontal="right" vertical="center" wrapText="1"/>
    </xf>
    <xf numFmtId="165" fontId="5" fillId="5" borderId="1" xfId="1" applyNumberFormat="1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49" fontId="5" fillId="0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6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0" applyFont="1" applyBorder="1" applyAlignment="1">
      <alignment vertical="top"/>
    </xf>
    <xf numFmtId="165" fontId="3" fillId="0" borderId="0" xfId="1" applyNumberFormat="1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6" fillId="6" borderId="0" xfId="0" applyFont="1" applyFill="1"/>
    <xf numFmtId="15" fontId="2" fillId="4" borderId="1" xfId="0" applyNumberFormat="1" applyFont="1" applyFill="1" applyBorder="1"/>
    <xf numFmtId="43" fontId="3" fillId="0" borderId="0" xfId="0" applyNumberFormat="1" applyFont="1" applyAlignment="1">
      <alignment vertical="top"/>
    </xf>
    <xf numFmtId="0" fontId="8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wrapText="1"/>
    </xf>
    <xf numFmtId="9" fontId="8" fillId="0" borderId="1" xfId="3" applyFont="1" applyFill="1" applyBorder="1" applyAlignment="1">
      <alignment horizontal="right"/>
    </xf>
    <xf numFmtId="165" fontId="5" fillId="9" borderId="1" xfId="1" applyNumberFormat="1" applyFont="1" applyFill="1" applyBorder="1" applyAlignment="1">
      <alignment horizontal="right" vertical="center" wrapText="1"/>
    </xf>
    <xf numFmtId="165" fontId="5" fillId="7" borderId="1" xfId="1" applyNumberFormat="1" applyFont="1" applyFill="1" applyBorder="1" applyAlignment="1">
      <alignment horizontal="right" vertical="center" wrapText="1"/>
    </xf>
    <xf numFmtId="165" fontId="5" fillId="10" borderId="1" xfId="1" applyNumberFormat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8" fillId="0" borderId="1" xfId="0" applyFont="1" applyBorder="1"/>
    <xf numFmtId="1" fontId="3" fillId="0" borderId="0" xfId="0" applyNumberFormat="1" applyFont="1" applyAlignment="1">
      <alignment horizontal="left"/>
    </xf>
    <xf numFmtId="1" fontId="8" fillId="0" borderId="2" xfId="0" quotePrefix="1" applyNumberFormat="1" applyFont="1" applyBorder="1" applyAlignment="1">
      <alignment horizontal="center"/>
    </xf>
    <xf numFmtId="1" fontId="8" fillId="8" borderId="2" xfId="0" quotePrefix="1" applyNumberFormat="1" applyFont="1" applyFill="1" applyBorder="1" applyAlignment="1">
      <alignment horizontal="center"/>
    </xf>
    <xf numFmtId="1" fontId="8" fillId="5" borderId="3" xfId="0" applyNumberFormat="1" applyFont="1" applyFill="1" applyBorder="1" applyAlignment="1">
      <alignment horizontal="right"/>
    </xf>
    <xf numFmtId="1" fontId="8" fillId="0" borderId="2" xfId="1" applyNumberFormat="1" applyFont="1" applyFill="1" applyBorder="1" applyAlignment="1">
      <alignment horizontal="right"/>
    </xf>
    <xf numFmtId="1" fontId="3" fillId="0" borderId="0" xfId="0" applyNumberFormat="1" applyFont="1" applyAlignment="1">
      <alignment vertical="top"/>
    </xf>
    <xf numFmtId="14" fontId="8" fillId="8" borderId="1" xfId="0" applyNumberFormat="1" applyFont="1" applyFill="1" applyBorder="1" applyAlignment="1">
      <alignment horizontal="center"/>
    </xf>
    <xf numFmtId="14" fontId="8" fillId="8" borderId="1" xfId="0" applyNumberFormat="1" applyFont="1" applyFill="1" applyBorder="1" applyAlignment="1">
      <alignment horizontal="center" wrapText="1"/>
    </xf>
    <xf numFmtId="9" fontId="8" fillId="8" borderId="1" xfId="3" applyFont="1" applyFill="1" applyBorder="1" applyAlignment="1">
      <alignment horizontal="right"/>
    </xf>
    <xf numFmtId="0" fontId="3" fillId="11" borderId="1" xfId="0" applyFont="1" applyFill="1" applyBorder="1"/>
    <xf numFmtId="0" fontId="9" fillId="8" borderId="1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left"/>
    </xf>
    <xf numFmtId="14" fontId="9" fillId="8" borderId="1" xfId="0" applyNumberFormat="1" applyFont="1" applyFill="1" applyBorder="1" applyAlignment="1">
      <alignment horizontal="center"/>
    </xf>
    <xf numFmtId="14" fontId="9" fillId="8" borderId="1" xfId="0" applyNumberFormat="1" applyFont="1" applyFill="1" applyBorder="1" applyAlignment="1">
      <alignment horizontal="center" wrapText="1"/>
    </xf>
    <xf numFmtId="9" fontId="9" fillId="8" borderId="1" xfId="3" applyFont="1" applyFill="1" applyBorder="1" applyAlignment="1">
      <alignment horizontal="right"/>
    </xf>
    <xf numFmtId="0" fontId="9" fillId="0" borderId="1" xfId="0" applyFont="1" applyBorder="1"/>
    <xf numFmtId="0" fontId="9" fillId="11" borderId="1" xfId="0" applyFont="1" applyFill="1" applyBorder="1"/>
    <xf numFmtId="1" fontId="9" fillId="0" borderId="0" xfId="0" applyNumberFormat="1" applyFont="1" applyAlignment="1">
      <alignment horizontal="left"/>
    </xf>
    <xf numFmtId="0" fontId="9" fillId="12" borderId="1" xfId="0" applyFont="1" applyFill="1" applyBorder="1" applyAlignment="1">
      <alignment horizontal="center"/>
    </xf>
    <xf numFmtId="0" fontId="9" fillId="12" borderId="2" xfId="0" applyFont="1" applyFill="1" applyBorder="1" applyAlignment="1">
      <alignment horizontal="left"/>
    </xf>
    <xf numFmtId="14" fontId="9" fillId="12" borderId="1" xfId="0" applyNumberFormat="1" applyFont="1" applyFill="1" applyBorder="1" applyAlignment="1">
      <alignment horizontal="center"/>
    </xf>
    <xf numFmtId="14" fontId="9" fillId="12" borderId="1" xfId="0" applyNumberFormat="1" applyFont="1" applyFill="1" applyBorder="1" applyAlignment="1">
      <alignment horizontal="center" wrapText="1"/>
    </xf>
    <xf numFmtId="9" fontId="9" fillId="12" borderId="1" xfId="3" applyFont="1" applyFill="1" applyBorder="1" applyAlignment="1">
      <alignment horizontal="right"/>
    </xf>
    <xf numFmtId="1" fontId="9" fillId="12" borderId="1" xfId="1" applyNumberFormat="1" applyFont="1" applyFill="1" applyBorder="1" applyAlignment="1">
      <alignment horizontal="right"/>
    </xf>
    <xf numFmtId="1" fontId="9" fillId="12" borderId="3" xfId="0" applyNumberFormat="1" applyFont="1" applyFill="1" applyBorder="1" applyAlignment="1">
      <alignment horizontal="right"/>
    </xf>
    <xf numFmtId="1" fontId="9" fillId="12" borderId="1" xfId="0" applyNumberFormat="1" applyFont="1" applyFill="1" applyBorder="1" applyAlignment="1">
      <alignment horizontal="right"/>
    </xf>
    <xf numFmtId="0" fontId="9" fillId="12" borderId="1" xfId="0" applyFont="1" applyFill="1" applyBorder="1" applyAlignment="1">
      <alignment horizontal="left" wrapText="1"/>
    </xf>
    <xf numFmtId="14" fontId="8" fillId="0" borderId="1" xfId="0" applyNumberFormat="1" applyFont="1" applyBorder="1" applyAlignment="1">
      <alignment horizontal="center" wrapText="1"/>
    </xf>
    <xf numFmtId="9" fontId="9" fillId="12" borderId="1" xfId="1" applyNumberFormat="1" applyFont="1" applyFill="1" applyBorder="1" applyAlignment="1">
      <alignment horizontal="right"/>
    </xf>
    <xf numFmtId="49" fontId="5" fillId="5" borderId="1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49" fontId="5" fillId="5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14" fillId="0" borderId="0" xfId="0" applyFont="1" applyAlignment="1">
      <alignment vertical="top"/>
    </xf>
    <xf numFmtId="0" fontId="2" fillId="7" borderId="1" xfId="0" applyFont="1" applyFill="1" applyBorder="1" applyAlignment="1">
      <alignment horizontal="center" vertical="top"/>
    </xf>
    <xf numFmtId="165" fontId="2" fillId="10" borderId="1" xfId="1" applyNumberFormat="1" applyFont="1" applyFill="1" applyBorder="1" applyAlignment="1">
      <alignment horizontal="center" vertical="top"/>
    </xf>
  </cellXfs>
  <cellStyles count="6">
    <cellStyle name="Comma" xfId="1" builtinId="3"/>
    <cellStyle name="Comma 2" xfId="2" xr:uid="{02A33304-6877-4E6A-A073-FB8389F88CA0}"/>
    <cellStyle name="Normal" xfId="0" builtinId="0"/>
    <cellStyle name="Normal 106" xfId="4" xr:uid="{2FC0BD56-4828-4FFB-9080-4997E46F7B39}"/>
    <cellStyle name="Normal 107" xfId="5" xr:uid="{0A8A825D-0AD4-4005-9828-46E208B5EC26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92"/>
  <sheetViews>
    <sheetView showGridLines="0" tabSelected="1"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2" sqref="F2"/>
    </sheetView>
  </sheetViews>
  <sheetFormatPr defaultColWidth="12.77734375" defaultRowHeight="13.8" outlineLevelCol="1" x14ac:dyDescent="0.3"/>
  <cols>
    <col min="1" max="1" width="9.33203125" style="3" customWidth="1"/>
    <col min="2" max="2" width="11.109375" style="3" customWidth="1"/>
    <col min="3" max="3" width="40.77734375" style="3" bestFit="1" customWidth="1"/>
    <col min="4" max="4" width="14.109375" style="3" bestFit="1" customWidth="1"/>
    <col min="5" max="5" width="12.5546875" style="3" customWidth="1" outlineLevel="1"/>
    <col min="6" max="6" width="37.5546875" style="3" customWidth="1" outlineLevel="1"/>
    <col min="7" max="7" width="13.77734375" style="1" customWidth="1" outlineLevel="1"/>
    <col min="8" max="8" width="11.77734375" style="1" customWidth="1" outlineLevel="1"/>
    <col min="9" max="9" width="13.109375" style="1" customWidth="1" outlineLevel="1"/>
    <col min="10" max="10" width="9.5546875" style="1" customWidth="1"/>
    <col min="11" max="11" width="9" style="1" customWidth="1"/>
    <col min="12" max="12" width="10.5546875" style="1" bestFit="1" customWidth="1"/>
    <col min="13" max="13" width="6.21875" style="2" customWidth="1"/>
    <col min="14" max="14" width="9.109375" style="2" customWidth="1"/>
    <col min="15" max="15" width="10.21875" style="2" customWidth="1"/>
    <col min="16" max="16" width="9.21875" style="2" customWidth="1"/>
    <col min="17" max="17" width="6" style="2" bestFit="1" customWidth="1" collapsed="1"/>
    <col min="18" max="18" width="5" style="2" bestFit="1" customWidth="1"/>
    <col min="19" max="19" width="8.21875" style="2" customWidth="1"/>
    <col min="20" max="20" width="7.77734375" style="2" customWidth="1"/>
    <col min="21" max="21" width="7.33203125" style="2" customWidth="1"/>
    <col min="22" max="22" width="10.5546875" style="2" customWidth="1"/>
    <col min="23" max="23" width="9.109375" style="2" customWidth="1"/>
    <col min="24" max="24" width="8.109375" style="2" customWidth="1"/>
    <col min="25" max="26" width="8.6640625" style="2" customWidth="1"/>
    <col min="27" max="27" width="8.5546875" style="2" customWidth="1"/>
    <col min="28" max="28" width="8.33203125" style="2" customWidth="1"/>
    <col min="29" max="29" width="13.88671875" style="3" customWidth="1"/>
    <col min="30" max="30" width="8.33203125" style="3" customWidth="1"/>
    <col min="31" max="33" width="9.109375" style="3" customWidth="1"/>
    <col min="34" max="34" width="8.6640625" style="3" customWidth="1"/>
    <col min="35" max="36" width="8.33203125" style="3" customWidth="1"/>
    <col min="37" max="37" width="9.109375" style="3" customWidth="1"/>
    <col min="38" max="38" width="11.77734375" style="3" customWidth="1"/>
    <col min="39" max="39" width="11" style="3" customWidth="1"/>
    <col min="40" max="40" width="11.21875" style="3" customWidth="1"/>
    <col min="41" max="41" width="32.21875" style="3" customWidth="1"/>
    <col min="42" max="42" width="3.21875" style="3" customWidth="1"/>
    <col min="43" max="43" width="10.109375" style="3" customWidth="1"/>
    <col min="44" max="44" width="7" style="3" customWidth="1"/>
    <col min="45" max="45" width="5" style="3" bestFit="1" customWidth="1"/>
    <col min="46" max="46" width="10" style="3" customWidth="1"/>
    <col min="47" max="47" width="7.77734375" style="3" customWidth="1"/>
    <col min="48" max="48" width="8.77734375" style="3" customWidth="1"/>
    <col min="49" max="49" width="7.44140625" style="3" customWidth="1"/>
    <col min="50" max="50" width="8.109375" style="3" customWidth="1"/>
    <col min="51" max="51" width="8" style="3" customWidth="1"/>
    <col min="52" max="52" width="1.5546875" style="3" customWidth="1"/>
    <col min="53" max="53" width="10.109375" style="3" customWidth="1"/>
    <col min="54" max="54" width="1.33203125" style="3" customWidth="1"/>
    <col min="55" max="55" width="1.21875" style="3" customWidth="1"/>
    <col min="56" max="56" width="10.109375" style="3" customWidth="1"/>
    <col min="57" max="16384" width="12.77734375" style="3"/>
  </cols>
  <sheetData>
    <row r="1" spans="1:58" ht="15.6" x14ac:dyDescent="0.3">
      <c r="A1" s="16" t="s">
        <v>58</v>
      </c>
      <c r="B1" s="16"/>
      <c r="C1" s="16"/>
      <c r="D1" s="16"/>
      <c r="E1" s="16"/>
      <c r="F1" s="13"/>
      <c r="G1" s="6"/>
      <c r="H1" s="6"/>
      <c r="AQ1" s="40">
        <v>46203</v>
      </c>
      <c r="AR1" s="39">
        <f>DAY(EOMONTH(AQ1,0))</f>
        <v>30</v>
      </c>
    </row>
    <row r="2" spans="1:58" ht="15" customHeight="1" x14ac:dyDescent="0.3">
      <c r="A2" s="90" t="s">
        <v>57</v>
      </c>
      <c r="B2" s="17"/>
      <c r="C2" s="17"/>
      <c r="D2" s="17"/>
      <c r="E2" s="17"/>
      <c r="F2" s="14"/>
      <c r="G2" s="7"/>
      <c r="H2" s="7"/>
      <c r="AQ2" s="40">
        <f>EOMONTH(AQ1,1)</f>
        <v>46234</v>
      </c>
      <c r="AR2" s="39">
        <f>DAY(EOMONTH(AQ2,0))</f>
        <v>31</v>
      </c>
    </row>
    <row r="3" spans="1:58" ht="15.6" x14ac:dyDescent="0.3">
      <c r="A3" s="13" t="s">
        <v>56</v>
      </c>
      <c r="B3" s="4"/>
      <c r="N3" s="92" t="s">
        <v>39</v>
      </c>
      <c r="O3" s="92"/>
      <c r="P3" s="92"/>
      <c r="R3" s="18"/>
      <c r="S3" s="18"/>
      <c r="T3" s="18"/>
      <c r="AQ3" s="91" t="s">
        <v>30</v>
      </c>
      <c r="AR3" s="91"/>
      <c r="AS3" s="91"/>
      <c r="AT3" s="91"/>
      <c r="AU3" s="91"/>
      <c r="AV3" s="91"/>
      <c r="AW3" s="91"/>
      <c r="AX3" s="91"/>
      <c r="AY3" s="91"/>
    </row>
    <row r="4" spans="1:58" s="31" customFormat="1" ht="82.8" x14ac:dyDescent="0.3">
      <c r="A4" s="26" t="s">
        <v>4</v>
      </c>
      <c r="B4" s="85" t="s">
        <v>49</v>
      </c>
      <c r="C4" s="86" t="s">
        <v>50</v>
      </c>
      <c r="D4" s="26" t="s">
        <v>13</v>
      </c>
      <c r="E4" s="26" t="s">
        <v>17</v>
      </c>
      <c r="F4" s="85" t="s">
        <v>7</v>
      </c>
      <c r="G4" s="85" t="s">
        <v>6</v>
      </c>
      <c r="H4" s="26" t="s">
        <v>43</v>
      </c>
      <c r="I4" s="85" t="s">
        <v>0</v>
      </c>
      <c r="J4" s="85" t="s">
        <v>2</v>
      </c>
      <c r="K4" s="87" t="s">
        <v>3</v>
      </c>
      <c r="L4" s="27" t="s">
        <v>14</v>
      </c>
      <c r="M4" s="28" t="s">
        <v>36</v>
      </c>
      <c r="N4" s="49" t="s">
        <v>8</v>
      </c>
      <c r="O4" s="29" t="s">
        <v>9</v>
      </c>
      <c r="P4" s="49" t="s">
        <v>52</v>
      </c>
      <c r="Q4" s="29" t="s">
        <v>11</v>
      </c>
      <c r="R4" s="29" t="s">
        <v>53</v>
      </c>
      <c r="S4" s="28" t="s">
        <v>28</v>
      </c>
      <c r="T4" s="28" t="s">
        <v>27</v>
      </c>
      <c r="U4" s="48" t="s">
        <v>29</v>
      </c>
      <c r="V4" s="48" t="s">
        <v>44</v>
      </c>
      <c r="W4" s="48" t="s">
        <v>45</v>
      </c>
      <c r="X4" s="47" t="s">
        <v>51</v>
      </c>
      <c r="Y4" s="47" t="s">
        <v>38</v>
      </c>
      <c r="Z4" s="29" t="s">
        <v>37</v>
      </c>
      <c r="AA4" s="28" t="s">
        <v>5</v>
      </c>
      <c r="AB4" s="28" t="s">
        <v>46</v>
      </c>
      <c r="AC4" s="28" t="s">
        <v>12</v>
      </c>
      <c r="AD4" s="28" t="s">
        <v>34</v>
      </c>
      <c r="AE4" s="29" t="s">
        <v>54</v>
      </c>
      <c r="AF4" s="28" t="s">
        <v>16</v>
      </c>
      <c r="AG4" s="28" t="s">
        <v>41</v>
      </c>
      <c r="AH4" s="28" t="s">
        <v>33</v>
      </c>
      <c r="AI4" s="28" t="s">
        <v>31</v>
      </c>
      <c r="AJ4" s="28" t="s">
        <v>15</v>
      </c>
      <c r="AK4" s="28" t="s">
        <v>32</v>
      </c>
      <c r="AL4" s="29" t="s">
        <v>47</v>
      </c>
      <c r="AM4" s="29" t="s">
        <v>48</v>
      </c>
      <c r="AN4" s="29" t="s">
        <v>35</v>
      </c>
      <c r="AO4" s="30" t="s">
        <v>10</v>
      </c>
      <c r="AQ4" s="32" t="s">
        <v>18</v>
      </c>
      <c r="AR4" s="33" t="s">
        <v>19</v>
      </c>
      <c r="AS4" s="33" t="s">
        <v>20</v>
      </c>
      <c r="AT4" s="33" t="s">
        <v>42</v>
      </c>
      <c r="AU4" s="34" t="s">
        <v>21</v>
      </c>
      <c r="AV4" s="33" t="s">
        <v>24</v>
      </c>
      <c r="AW4" s="33" t="s">
        <v>23</v>
      </c>
      <c r="AX4" s="33" t="s">
        <v>26</v>
      </c>
      <c r="AY4" s="33" t="s">
        <v>25</v>
      </c>
      <c r="BA4" s="33" t="s">
        <v>22</v>
      </c>
      <c r="BD4" s="53" t="s">
        <v>40</v>
      </c>
      <c r="BF4" s="88" t="s">
        <v>55</v>
      </c>
    </row>
    <row r="5" spans="1:58" s="25" customFormat="1" x14ac:dyDescent="0.3">
      <c r="A5" s="19"/>
      <c r="B5" s="19"/>
      <c r="C5" s="50"/>
      <c r="D5" s="50"/>
      <c r="E5" s="50"/>
      <c r="F5" s="51"/>
      <c r="G5" s="57"/>
      <c r="H5" s="51"/>
      <c r="I5" s="52"/>
      <c r="J5" s="20"/>
      <c r="K5" s="21"/>
      <c r="L5" s="21"/>
      <c r="M5" s="46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59"/>
      <c r="AM5" s="23"/>
      <c r="AN5" s="23"/>
      <c r="AO5" s="24"/>
      <c r="AQ5" s="35"/>
      <c r="AR5" s="35"/>
      <c r="AS5" s="35"/>
      <c r="AT5" s="35"/>
      <c r="AU5" s="35"/>
      <c r="AV5" s="35"/>
      <c r="AW5" s="35"/>
      <c r="AX5" s="35"/>
      <c r="AY5" s="35"/>
      <c r="BA5" s="35"/>
      <c r="BD5" s="55"/>
      <c r="BF5" s="89"/>
    </row>
    <row r="6" spans="1:58" s="25" customFormat="1" x14ac:dyDescent="0.3">
      <c r="A6" s="19"/>
      <c r="B6" s="19"/>
      <c r="C6" s="50"/>
      <c r="D6" s="50"/>
      <c r="E6" s="50"/>
      <c r="F6" s="51"/>
      <c r="G6" s="57"/>
      <c r="H6" s="51"/>
      <c r="I6" s="52"/>
      <c r="J6" s="20"/>
      <c r="K6" s="21"/>
      <c r="L6" s="21"/>
      <c r="M6" s="46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59"/>
      <c r="AM6" s="23"/>
      <c r="AN6" s="23"/>
      <c r="AO6" s="24"/>
      <c r="AQ6" s="35"/>
      <c r="AR6" s="35"/>
      <c r="AS6" s="35"/>
      <c r="AT6" s="35"/>
      <c r="AU6" s="35"/>
      <c r="AV6" s="35"/>
      <c r="AW6" s="35"/>
      <c r="AX6" s="35"/>
      <c r="AY6" s="35"/>
      <c r="BA6" s="35"/>
      <c r="BD6" s="55"/>
      <c r="BF6" s="89"/>
    </row>
    <row r="7" spans="1:58" s="25" customFormat="1" x14ac:dyDescent="0.3">
      <c r="A7" s="19"/>
      <c r="B7" s="19"/>
      <c r="C7" s="50"/>
      <c r="D7" s="50"/>
      <c r="E7" s="50"/>
      <c r="F7" s="51"/>
      <c r="G7" s="57"/>
      <c r="H7" s="51"/>
      <c r="I7" s="52"/>
      <c r="J7" s="20"/>
      <c r="K7" s="21"/>
      <c r="L7" s="21"/>
      <c r="M7" s="46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59"/>
      <c r="AM7" s="23"/>
      <c r="AN7" s="23"/>
      <c r="AO7" s="24"/>
      <c r="AQ7" s="35"/>
      <c r="AR7" s="35"/>
      <c r="AS7" s="35"/>
      <c r="AT7" s="35"/>
      <c r="AU7" s="35"/>
      <c r="AV7" s="35"/>
      <c r="AW7" s="35"/>
      <c r="AX7" s="35"/>
      <c r="AY7" s="35"/>
      <c r="BA7" s="35"/>
      <c r="BD7" s="55"/>
      <c r="BF7" s="89"/>
    </row>
    <row r="8" spans="1:58" s="25" customFormat="1" x14ac:dyDescent="0.3">
      <c r="A8" s="19"/>
      <c r="B8" s="19"/>
      <c r="C8" s="50"/>
      <c r="D8" s="50"/>
      <c r="E8" s="50"/>
      <c r="F8" s="51"/>
      <c r="G8" s="57"/>
      <c r="H8" s="51"/>
      <c r="I8" s="52"/>
      <c r="J8" s="20"/>
      <c r="K8" s="21"/>
      <c r="L8" s="21"/>
      <c r="M8" s="46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59"/>
      <c r="AM8" s="23"/>
      <c r="AN8" s="23"/>
      <c r="AO8" s="24"/>
      <c r="AQ8" s="35"/>
      <c r="AR8" s="35"/>
      <c r="AS8" s="35"/>
      <c r="AT8" s="35"/>
      <c r="AU8" s="35"/>
      <c r="AV8" s="35"/>
      <c r="AW8" s="35"/>
      <c r="AX8" s="35"/>
      <c r="AY8" s="35"/>
      <c r="BA8" s="35"/>
      <c r="BD8" s="55"/>
      <c r="BF8" s="89"/>
    </row>
    <row r="9" spans="1:58" s="25" customFormat="1" x14ac:dyDescent="0.3">
      <c r="A9" s="19"/>
      <c r="B9" s="19"/>
      <c r="C9" s="50"/>
      <c r="D9" s="50"/>
      <c r="E9" s="50"/>
      <c r="F9" s="51"/>
      <c r="G9" s="57"/>
      <c r="H9" s="51"/>
      <c r="I9" s="52"/>
      <c r="J9" s="20"/>
      <c r="K9" s="21"/>
      <c r="L9" s="21"/>
      <c r="M9" s="46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59"/>
      <c r="AM9" s="23"/>
      <c r="AN9" s="23"/>
      <c r="AO9" s="24"/>
      <c r="AQ9" s="35"/>
      <c r="AR9" s="35"/>
      <c r="AS9" s="35"/>
      <c r="AT9" s="35"/>
      <c r="AU9" s="35"/>
      <c r="AV9" s="35"/>
      <c r="AW9" s="35"/>
      <c r="AX9" s="35"/>
      <c r="AY9" s="35"/>
      <c r="BA9" s="35"/>
      <c r="BD9" s="55"/>
      <c r="BF9" s="89"/>
    </row>
    <row r="10" spans="1:58" s="25" customFormat="1" x14ac:dyDescent="0.3">
      <c r="A10" s="19"/>
      <c r="B10" s="19"/>
      <c r="C10" s="50"/>
      <c r="D10" s="50"/>
      <c r="E10" s="50"/>
      <c r="F10" s="51"/>
      <c r="G10" s="57"/>
      <c r="H10" s="51"/>
      <c r="I10" s="52"/>
      <c r="J10" s="20"/>
      <c r="K10" s="21"/>
      <c r="L10" s="21"/>
      <c r="M10" s="46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59"/>
      <c r="AM10" s="23"/>
      <c r="AN10" s="23"/>
      <c r="AO10" s="24"/>
      <c r="AQ10" s="35"/>
      <c r="AR10" s="35"/>
      <c r="AS10" s="35"/>
      <c r="AT10" s="35"/>
      <c r="AU10" s="35"/>
      <c r="AV10" s="35"/>
      <c r="AW10" s="35"/>
      <c r="AX10" s="35"/>
      <c r="AY10" s="35"/>
      <c r="BA10" s="35"/>
      <c r="BD10" s="55"/>
      <c r="BF10" s="89"/>
    </row>
    <row r="11" spans="1:58" s="25" customFormat="1" x14ac:dyDescent="0.3">
      <c r="A11" s="19"/>
      <c r="B11" s="19"/>
      <c r="C11" s="50"/>
      <c r="D11" s="50"/>
      <c r="E11" s="50"/>
      <c r="F11" s="51"/>
      <c r="G11" s="57"/>
      <c r="H11" s="51"/>
      <c r="I11" s="52"/>
      <c r="J11" s="20"/>
      <c r="K11" s="21"/>
      <c r="L11" s="21"/>
      <c r="M11" s="46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59"/>
      <c r="AM11" s="23"/>
      <c r="AN11" s="23"/>
      <c r="AO11" s="24"/>
      <c r="AQ11" s="35"/>
      <c r="AR11" s="35"/>
      <c r="AS11" s="35"/>
      <c r="AT11" s="35"/>
      <c r="AU11" s="35"/>
      <c r="AV11" s="35"/>
      <c r="AW11" s="35"/>
      <c r="AX11" s="35"/>
      <c r="AY11" s="35"/>
      <c r="BA11" s="35"/>
      <c r="BD11" s="55"/>
      <c r="BF11" s="89"/>
    </row>
    <row r="12" spans="1:58" s="25" customFormat="1" x14ac:dyDescent="0.3">
      <c r="A12" s="19"/>
      <c r="B12" s="19"/>
      <c r="C12" s="50"/>
      <c r="D12" s="50"/>
      <c r="E12" s="50"/>
      <c r="F12" s="51"/>
      <c r="G12" s="57"/>
      <c r="H12" s="51"/>
      <c r="I12" s="52"/>
      <c r="J12" s="20"/>
      <c r="K12" s="21"/>
      <c r="L12" s="21"/>
      <c r="M12" s="46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59"/>
      <c r="AM12" s="23"/>
      <c r="AN12" s="23"/>
      <c r="AO12" s="24"/>
      <c r="AQ12" s="35"/>
      <c r="AR12" s="35"/>
      <c r="AS12" s="35"/>
      <c r="AT12" s="35"/>
      <c r="AU12" s="35"/>
      <c r="AV12" s="35"/>
      <c r="AW12" s="35"/>
      <c r="AX12" s="35"/>
      <c r="AY12" s="35"/>
      <c r="BA12" s="35"/>
      <c r="BD12" s="55"/>
      <c r="BF12" s="89"/>
    </row>
    <row r="13" spans="1:58" s="25" customFormat="1" x14ac:dyDescent="0.3">
      <c r="A13" s="19"/>
      <c r="B13" s="19"/>
      <c r="C13" s="50"/>
      <c r="D13" s="50"/>
      <c r="E13" s="50"/>
      <c r="F13" s="51"/>
      <c r="G13" s="57"/>
      <c r="H13" s="51"/>
      <c r="I13" s="52"/>
      <c r="J13" s="20"/>
      <c r="K13" s="21"/>
      <c r="L13" s="21"/>
      <c r="M13" s="46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59"/>
      <c r="AM13" s="23"/>
      <c r="AN13" s="23"/>
      <c r="AO13" s="24"/>
      <c r="AQ13" s="35"/>
      <c r="AR13" s="35"/>
      <c r="AS13" s="35"/>
      <c r="AT13" s="35"/>
      <c r="AU13" s="35"/>
      <c r="AV13" s="35"/>
      <c r="AW13" s="35"/>
      <c r="AX13" s="35"/>
      <c r="AY13" s="35"/>
      <c r="AZ13" s="54"/>
      <c r="BA13" s="35"/>
      <c r="BD13" s="55"/>
      <c r="BF13" s="89"/>
    </row>
    <row r="14" spans="1:58" s="25" customFormat="1" x14ac:dyDescent="0.3">
      <c r="A14" s="19"/>
      <c r="B14" s="19"/>
      <c r="C14" s="50"/>
      <c r="D14" s="50"/>
      <c r="E14" s="50"/>
      <c r="F14" s="51"/>
      <c r="G14" s="57"/>
      <c r="H14" s="51"/>
      <c r="I14" s="52"/>
      <c r="J14" s="20"/>
      <c r="K14" s="21"/>
      <c r="L14" s="21"/>
      <c r="M14" s="46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59"/>
      <c r="AM14" s="23"/>
      <c r="AN14" s="23"/>
      <c r="AO14" s="24"/>
      <c r="AQ14" s="35"/>
      <c r="AR14" s="35"/>
      <c r="AS14" s="35"/>
      <c r="AT14" s="35"/>
      <c r="AU14" s="35"/>
      <c r="AV14" s="35"/>
      <c r="AW14" s="35"/>
      <c r="AX14" s="35"/>
      <c r="AY14" s="35"/>
      <c r="BA14" s="35"/>
      <c r="BD14" s="55"/>
      <c r="BF14" s="89"/>
    </row>
    <row r="15" spans="1:58" s="25" customFormat="1" x14ac:dyDescent="0.3">
      <c r="A15" s="19"/>
      <c r="B15" s="19"/>
      <c r="C15" s="50"/>
      <c r="D15" s="50"/>
      <c r="E15" s="50"/>
      <c r="F15" s="51"/>
      <c r="G15" s="57"/>
      <c r="H15" s="51"/>
      <c r="I15" s="52"/>
      <c r="J15" s="20"/>
      <c r="K15" s="21"/>
      <c r="L15" s="21"/>
      <c r="M15" s="46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59"/>
      <c r="AM15" s="23"/>
      <c r="AN15" s="23"/>
      <c r="AO15" s="24"/>
      <c r="AQ15" s="35"/>
      <c r="AR15" s="35"/>
      <c r="AS15" s="35"/>
      <c r="AT15" s="35"/>
      <c r="AU15" s="35"/>
      <c r="AV15" s="35"/>
      <c r="AW15" s="35"/>
      <c r="AX15" s="35"/>
      <c r="AY15" s="35"/>
      <c r="BA15" s="35"/>
      <c r="BD15" s="55"/>
      <c r="BF15" s="89"/>
    </row>
    <row r="16" spans="1:58" s="25" customFormat="1" x14ac:dyDescent="0.3">
      <c r="A16" s="19"/>
      <c r="B16" s="19"/>
      <c r="C16" s="50"/>
      <c r="D16" s="50"/>
      <c r="E16" s="50"/>
      <c r="F16" s="51"/>
      <c r="G16" s="57"/>
      <c r="H16" s="51"/>
      <c r="I16" s="52"/>
      <c r="J16" s="20"/>
      <c r="K16" s="21"/>
      <c r="L16" s="21"/>
      <c r="M16" s="46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59"/>
      <c r="AM16" s="23"/>
      <c r="AN16" s="23"/>
      <c r="AO16" s="24"/>
      <c r="AQ16" s="35"/>
      <c r="AR16" s="35"/>
      <c r="AS16" s="35"/>
      <c r="AT16" s="35"/>
      <c r="AU16" s="35"/>
      <c r="AV16" s="35"/>
      <c r="AW16" s="35"/>
      <c r="AX16" s="35"/>
      <c r="AY16" s="35"/>
      <c r="AZ16" s="54"/>
      <c r="BA16" s="35"/>
      <c r="BD16" s="55"/>
      <c r="BF16" s="89"/>
    </row>
    <row r="17" spans="1:58" s="25" customFormat="1" x14ac:dyDescent="0.3">
      <c r="A17" s="19"/>
      <c r="B17" s="19"/>
      <c r="C17" s="50"/>
      <c r="D17" s="50"/>
      <c r="E17" s="50"/>
      <c r="F17" s="51"/>
      <c r="G17" s="57"/>
      <c r="H17" s="51"/>
      <c r="I17" s="52"/>
      <c r="J17" s="20"/>
      <c r="K17" s="21"/>
      <c r="L17" s="21"/>
      <c r="M17" s="46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59"/>
      <c r="AM17" s="23"/>
      <c r="AN17" s="23"/>
      <c r="AO17" s="24"/>
      <c r="AQ17" s="35"/>
      <c r="AR17" s="35"/>
      <c r="AS17" s="35"/>
      <c r="AT17" s="35"/>
      <c r="AU17" s="35"/>
      <c r="AV17" s="35"/>
      <c r="AW17" s="35"/>
      <c r="AX17" s="35"/>
      <c r="AY17" s="35"/>
      <c r="BA17" s="35"/>
      <c r="BD17" s="55"/>
      <c r="BF17" s="89"/>
    </row>
    <row r="18" spans="1:58" s="25" customFormat="1" x14ac:dyDescent="0.3">
      <c r="A18" s="19"/>
      <c r="B18" s="19"/>
      <c r="C18" s="50"/>
      <c r="D18" s="50"/>
      <c r="E18" s="50"/>
      <c r="F18" s="51"/>
      <c r="G18" s="57"/>
      <c r="H18" s="51"/>
      <c r="I18" s="52"/>
      <c r="J18" s="20"/>
      <c r="K18" s="21"/>
      <c r="L18" s="21"/>
      <c r="M18" s="46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59"/>
      <c r="AM18" s="23"/>
      <c r="AN18" s="23"/>
      <c r="AO18" s="24"/>
      <c r="AQ18" s="35"/>
      <c r="AR18" s="35"/>
      <c r="AS18" s="35"/>
      <c r="AT18" s="35"/>
      <c r="AU18" s="35"/>
      <c r="AV18" s="35"/>
      <c r="AW18" s="35"/>
      <c r="AX18" s="35"/>
      <c r="AY18" s="35"/>
      <c r="BA18" s="35"/>
      <c r="BD18" s="55"/>
      <c r="BF18" s="89"/>
    </row>
    <row r="19" spans="1:58" s="25" customFormat="1" x14ac:dyDescent="0.3">
      <c r="A19" s="19"/>
      <c r="B19" s="19"/>
      <c r="C19" s="50"/>
      <c r="D19" s="50"/>
      <c r="E19" s="50"/>
      <c r="F19" s="51"/>
      <c r="G19" s="57"/>
      <c r="H19" s="51"/>
      <c r="I19" s="52"/>
      <c r="J19" s="20"/>
      <c r="K19" s="21"/>
      <c r="L19" s="21"/>
      <c r="M19" s="46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59"/>
      <c r="AM19" s="23"/>
      <c r="AN19" s="23"/>
      <c r="AO19" s="24"/>
      <c r="AQ19" s="35"/>
      <c r="AR19" s="35"/>
      <c r="AS19" s="35"/>
      <c r="AT19" s="35"/>
      <c r="AU19" s="35"/>
      <c r="AV19" s="35"/>
      <c r="AW19" s="35"/>
      <c r="AX19" s="35"/>
      <c r="AY19" s="35"/>
      <c r="BA19" s="35"/>
      <c r="BD19" s="55"/>
      <c r="BF19" s="89"/>
    </row>
    <row r="20" spans="1:58" s="25" customFormat="1" x14ac:dyDescent="0.3">
      <c r="A20" s="19"/>
      <c r="B20" s="19"/>
      <c r="C20" s="50"/>
      <c r="D20" s="50"/>
      <c r="E20" s="50"/>
      <c r="F20" s="51"/>
      <c r="G20" s="57"/>
      <c r="H20" s="51"/>
      <c r="I20" s="52"/>
      <c r="J20" s="20"/>
      <c r="K20" s="21"/>
      <c r="L20" s="21"/>
      <c r="M20" s="46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59"/>
      <c r="AM20" s="23"/>
      <c r="AN20" s="23"/>
      <c r="AO20" s="24"/>
      <c r="AQ20" s="35"/>
      <c r="AR20" s="35"/>
      <c r="AS20" s="35"/>
      <c r="AT20" s="35"/>
      <c r="AU20" s="35"/>
      <c r="AV20" s="35"/>
      <c r="AW20" s="35"/>
      <c r="AX20" s="35"/>
      <c r="AY20" s="35"/>
      <c r="AZ20" s="54"/>
      <c r="BA20" s="35"/>
      <c r="BD20" s="55"/>
      <c r="BF20" s="89"/>
    </row>
    <row r="21" spans="1:58" s="25" customFormat="1" x14ac:dyDescent="0.3">
      <c r="A21" s="19"/>
      <c r="B21" s="19"/>
      <c r="C21" s="50"/>
      <c r="D21" s="50"/>
      <c r="E21" s="50"/>
      <c r="F21" s="51"/>
      <c r="G21" s="57"/>
      <c r="H21" s="51"/>
      <c r="I21" s="52"/>
      <c r="J21" s="20"/>
      <c r="K21" s="21"/>
      <c r="L21" s="21"/>
      <c r="M21" s="46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59"/>
      <c r="AM21" s="23"/>
      <c r="AN21" s="23"/>
      <c r="AO21" s="24"/>
      <c r="AQ21" s="35"/>
      <c r="AR21" s="35"/>
      <c r="AS21" s="35"/>
      <c r="AT21" s="35"/>
      <c r="AU21" s="35"/>
      <c r="AV21" s="35"/>
      <c r="AW21" s="35"/>
      <c r="AX21" s="35"/>
      <c r="AY21" s="35"/>
      <c r="AZ21" s="54"/>
      <c r="BA21" s="35"/>
      <c r="BD21" s="55"/>
      <c r="BF21" s="89"/>
    </row>
    <row r="22" spans="1:58" s="25" customFormat="1" x14ac:dyDescent="0.3">
      <c r="A22" s="19"/>
      <c r="B22" s="19"/>
      <c r="C22" s="50"/>
      <c r="D22" s="50"/>
      <c r="E22" s="50"/>
      <c r="F22" s="51"/>
      <c r="G22" s="57"/>
      <c r="H22" s="51"/>
      <c r="I22" s="52"/>
      <c r="J22" s="20"/>
      <c r="K22" s="21"/>
      <c r="L22" s="21"/>
      <c r="M22" s="46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59"/>
      <c r="AM22" s="23"/>
      <c r="AN22" s="23"/>
      <c r="AO22" s="24"/>
      <c r="AQ22" s="35"/>
      <c r="AR22" s="35"/>
      <c r="AS22" s="35"/>
      <c r="AT22" s="35"/>
      <c r="AU22" s="35"/>
      <c r="AV22" s="35"/>
      <c r="AW22" s="35"/>
      <c r="AX22" s="35"/>
      <c r="AY22" s="35"/>
      <c r="AZ22" s="54"/>
      <c r="BA22" s="35"/>
      <c r="BD22" s="55"/>
      <c r="BF22" s="89"/>
    </row>
    <row r="23" spans="1:58" s="25" customFormat="1" x14ac:dyDescent="0.3">
      <c r="A23" s="19"/>
      <c r="B23" s="19"/>
      <c r="C23" s="50"/>
      <c r="D23" s="50"/>
      <c r="E23" s="50"/>
      <c r="F23" s="51"/>
      <c r="G23" s="57"/>
      <c r="H23" s="51"/>
      <c r="I23" s="52"/>
      <c r="J23" s="20"/>
      <c r="K23" s="21"/>
      <c r="L23" s="21"/>
      <c r="M23" s="46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59"/>
      <c r="AM23" s="23"/>
      <c r="AN23" s="23"/>
      <c r="AO23" s="24"/>
      <c r="AQ23" s="35"/>
      <c r="AR23" s="35"/>
      <c r="AS23" s="35"/>
      <c r="AT23" s="35"/>
      <c r="AU23" s="35"/>
      <c r="AV23" s="35"/>
      <c r="AW23" s="35"/>
      <c r="AX23" s="35"/>
      <c r="AY23" s="35"/>
      <c r="BA23" s="35"/>
      <c r="BD23" s="55"/>
      <c r="BF23" s="89"/>
    </row>
    <row r="24" spans="1:58" s="25" customFormat="1" x14ac:dyDescent="0.3">
      <c r="A24" s="19"/>
      <c r="B24" s="19"/>
      <c r="C24" s="50"/>
      <c r="D24" s="50"/>
      <c r="E24" s="50"/>
      <c r="F24" s="51"/>
      <c r="G24" s="57"/>
      <c r="H24" s="51"/>
      <c r="I24" s="52"/>
      <c r="J24" s="20"/>
      <c r="K24" s="21"/>
      <c r="L24" s="21"/>
      <c r="M24" s="46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59"/>
      <c r="AM24" s="23"/>
      <c r="AN24" s="23"/>
      <c r="AO24" s="24"/>
      <c r="AQ24" s="35"/>
      <c r="AR24" s="35"/>
      <c r="AS24" s="35"/>
      <c r="AT24" s="35"/>
      <c r="AU24" s="35"/>
      <c r="AV24" s="35"/>
      <c r="AW24" s="35"/>
      <c r="AX24" s="35"/>
      <c r="AY24" s="35"/>
      <c r="BA24" s="35"/>
      <c r="BD24" s="55"/>
      <c r="BF24" s="89"/>
    </row>
    <row r="25" spans="1:58" s="25" customFormat="1" x14ac:dyDescent="0.3">
      <c r="A25" s="19"/>
      <c r="B25" s="19"/>
      <c r="C25" s="50"/>
      <c r="D25" s="50"/>
      <c r="E25" s="50"/>
      <c r="F25" s="51"/>
      <c r="G25" s="57"/>
      <c r="H25" s="51"/>
      <c r="I25" s="52"/>
      <c r="J25" s="20"/>
      <c r="K25" s="21"/>
      <c r="L25" s="21"/>
      <c r="M25" s="46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59"/>
      <c r="AM25" s="23"/>
      <c r="AN25" s="23"/>
      <c r="AO25" s="24"/>
      <c r="AQ25" s="35"/>
      <c r="AR25" s="35"/>
      <c r="AS25" s="35"/>
      <c r="AT25" s="35"/>
      <c r="AU25" s="35"/>
      <c r="AV25" s="35"/>
      <c r="AW25" s="35"/>
      <c r="AX25" s="35"/>
      <c r="AY25" s="35"/>
      <c r="BA25" s="35"/>
      <c r="BD25" s="55"/>
      <c r="BF25" s="89"/>
    </row>
    <row r="26" spans="1:58" s="25" customFormat="1" x14ac:dyDescent="0.3">
      <c r="A26" s="19"/>
      <c r="B26" s="19"/>
      <c r="C26" s="50"/>
      <c r="D26" s="50"/>
      <c r="E26" s="50"/>
      <c r="F26" s="51"/>
      <c r="G26" s="57"/>
      <c r="H26" s="51"/>
      <c r="I26" s="52"/>
      <c r="J26" s="20"/>
      <c r="K26" s="21"/>
      <c r="L26" s="21"/>
      <c r="M26" s="46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59"/>
      <c r="AM26" s="23"/>
      <c r="AN26" s="23"/>
      <c r="AO26" s="24"/>
      <c r="AQ26" s="35"/>
      <c r="AR26" s="35"/>
      <c r="AS26" s="35"/>
      <c r="AT26" s="35"/>
      <c r="AU26" s="35"/>
      <c r="AV26" s="35"/>
      <c r="AW26" s="35"/>
      <c r="AX26" s="35"/>
      <c r="AY26" s="35"/>
      <c r="AZ26" s="54"/>
      <c r="BA26" s="35"/>
      <c r="BD26" s="55"/>
      <c r="BF26" s="89"/>
    </row>
    <row r="27" spans="1:58" s="25" customFormat="1" x14ac:dyDescent="0.3">
      <c r="A27" s="19"/>
      <c r="B27" s="19"/>
      <c r="C27" s="50"/>
      <c r="D27" s="50"/>
      <c r="E27" s="50"/>
      <c r="F27" s="51"/>
      <c r="G27" s="57"/>
      <c r="H27" s="51"/>
      <c r="I27" s="52"/>
      <c r="J27" s="20"/>
      <c r="K27" s="21"/>
      <c r="L27" s="21"/>
      <c r="M27" s="46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59"/>
      <c r="AM27" s="23"/>
      <c r="AN27" s="23"/>
      <c r="AO27" s="24"/>
      <c r="AQ27" s="35"/>
      <c r="AR27" s="35"/>
      <c r="AS27" s="35"/>
      <c r="AT27" s="35"/>
      <c r="AU27" s="35"/>
      <c r="AV27" s="35"/>
      <c r="AW27" s="35"/>
      <c r="AX27" s="35"/>
      <c r="AY27" s="35"/>
      <c r="BA27" s="35"/>
      <c r="BD27" s="55"/>
      <c r="BF27" s="89"/>
    </row>
    <row r="28" spans="1:58" s="25" customFormat="1" x14ac:dyDescent="0.3">
      <c r="A28" s="19"/>
      <c r="B28" s="19"/>
      <c r="C28" s="50"/>
      <c r="D28" s="50"/>
      <c r="E28" s="50"/>
      <c r="F28" s="51"/>
      <c r="G28" s="57"/>
      <c r="H28" s="51"/>
      <c r="I28" s="52"/>
      <c r="J28" s="20"/>
      <c r="K28" s="21"/>
      <c r="L28" s="21"/>
      <c r="M28" s="46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59"/>
      <c r="AM28" s="23"/>
      <c r="AN28" s="23"/>
      <c r="AO28" s="24"/>
      <c r="AQ28" s="35"/>
      <c r="AR28" s="35"/>
      <c r="AS28" s="35"/>
      <c r="AT28" s="35"/>
      <c r="AU28" s="35"/>
      <c r="AV28" s="35"/>
      <c r="AW28" s="35"/>
      <c r="AX28" s="35"/>
      <c r="AY28" s="35"/>
      <c r="BA28" s="35"/>
      <c r="BD28" s="55"/>
      <c r="BF28" s="89"/>
    </row>
    <row r="29" spans="1:58" s="25" customFormat="1" x14ac:dyDescent="0.3">
      <c r="A29" s="19"/>
      <c r="B29" s="19"/>
      <c r="C29" s="50"/>
      <c r="D29" s="50"/>
      <c r="E29" s="50"/>
      <c r="F29" s="51"/>
      <c r="G29" s="57"/>
      <c r="H29" s="51"/>
      <c r="I29" s="52"/>
      <c r="J29" s="20"/>
      <c r="K29" s="21"/>
      <c r="L29" s="21"/>
      <c r="M29" s="46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59"/>
      <c r="AM29" s="23"/>
      <c r="AN29" s="23"/>
      <c r="AO29" s="24"/>
      <c r="AQ29" s="35"/>
      <c r="AR29" s="35"/>
      <c r="AS29" s="35"/>
      <c r="AT29" s="35"/>
      <c r="AU29" s="35"/>
      <c r="AV29" s="35"/>
      <c r="AW29" s="35"/>
      <c r="AX29" s="35"/>
      <c r="AY29" s="35"/>
      <c r="BA29" s="35"/>
      <c r="BD29" s="55"/>
      <c r="BF29" s="89"/>
    </row>
    <row r="30" spans="1:58" s="25" customFormat="1" x14ac:dyDescent="0.3">
      <c r="A30" s="19"/>
      <c r="B30" s="19"/>
      <c r="C30" s="50"/>
      <c r="D30" s="50"/>
      <c r="E30" s="50"/>
      <c r="F30" s="51"/>
      <c r="G30" s="57"/>
      <c r="H30" s="51"/>
      <c r="I30" s="52"/>
      <c r="J30" s="20"/>
      <c r="K30" s="21"/>
      <c r="L30" s="21"/>
      <c r="M30" s="46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59"/>
      <c r="AM30" s="23"/>
      <c r="AN30" s="23"/>
      <c r="AO30" s="24"/>
      <c r="AQ30" s="35"/>
      <c r="AR30" s="35"/>
      <c r="AS30" s="35"/>
      <c r="AT30" s="35"/>
      <c r="AU30" s="35"/>
      <c r="AV30" s="35"/>
      <c r="AW30" s="35"/>
      <c r="AX30" s="35"/>
      <c r="AY30" s="35"/>
      <c r="BA30" s="35"/>
      <c r="BD30" s="55"/>
      <c r="BF30" s="89"/>
    </row>
    <row r="31" spans="1:58" s="25" customFormat="1" x14ac:dyDescent="0.3">
      <c r="A31" s="19"/>
      <c r="B31" s="19"/>
      <c r="C31" s="50"/>
      <c r="D31" s="50"/>
      <c r="E31" s="50"/>
      <c r="F31" s="51"/>
      <c r="G31" s="57"/>
      <c r="H31" s="51"/>
      <c r="I31" s="52"/>
      <c r="J31" s="20"/>
      <c r="K31" s="21"/>
      <c r="L31" s="21"/>
      <c r="M31" s="46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59"/>
      <c r="AM31" s="23"/>
      <c r="AN31" s="23"/>
      <c r="AO31" s="24"/>
      <c r="AQ31" s="35"/>
      <c r="AR31" s="35"/>
      <c r="AS31" s="35"/>
      <c r="AT31" s="35"/>
      <c r="AU31" s="35"/>
      <c r="AV31" s="35"/>
      <c r="AW31" s="35"/>
      <c r="AX31" s="35"/>
      <c r="AY31" s="35"/>
      <c r="BA31" s="35"/>
      <c r="BD31" s="55"/>
      <c r="BF31" s="89"/>
    </row>
    <row r="32" spans="1:58" s="25" customFormat="1" x14ac:dyDescent="0.3">
      <c r="A32" s="19"/>
      <c r="B32" s="19"/>
      <c r="C32" s="50"/>
      <c r="D32" s="50"/>
      <c r="E32" s="50"/>
      <c r="F32" s="51"/>
      <c r="G32" s="57"/>
      <c r="H32" s="51"/>
      <c r="I32" s="52"/>
      <c r="J32" s="20"/>
      <c r="K32" s="21"/>
      <c r="L32" s="21"/>
      <c r="M32" s="46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59"/>
      <c r="AM32" s="23"/>
      <c r="AN32" s="23"/>
      <c r="AO32" s="24"/>
      <c r="AQ32" s="35"/>
      <c r="AR32" s="35"/>
      <c r="AS32" s="35"/>
      <c r="AT32" s="35"/>
      <c r="AU32" s="35"/>
      <c r="AV32" s="35"/>
      <c r="AW32" s="35"/>
      <c r="AX32" s="35"/>
      <c r="AY32" s="35"/>
      <c r="BA32" s="35"/>
      <c r="BD32" s="55"/>
      <c r="BF32" s="89"/>
    </row>
    <row r="33" spans="1:59" s="25" customFormat="1" x14ac:dyDescent="0.3">
      <c r="A33" s="19"/>
      <c r="B33" s="19"/>
      <c r="C33" s="50"/>
      <c r="D33" s="50"/>
      <c r="E33" s="50"/>
      <c r="F33" s="51"/>
      <c r="G33" s="57"/>
      <c r="H33" s="51"/>
      <c r="I33" s="52"/>
      <c r="J33" s="20"/>
      <c r="K33" s="21"/>
      <c r="L33" s="21"/>
      <c r="M33" s="46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59"/>
      <c r="AM33" s="23"/>
      <c r="AN33" s="23"/>
      <c r="AO33" s="24"/>
      <c r="AQ33" s="35"/>
      <c r="AR33" s="35"/>
      <c r="AS33" s="35"/>
      <c r="AT33" s="35"/>
      <c r="AU33" s="35"/>
      <c r="AV33" s="35"/>
      <c r="AW33" s="35"/>
      <c r="AX33" s="35"/>
      <c r="AY33" s="35"/>
      <c r="BA33" s="35"/>
      <c r="BD33" s="55"/>
      <c r="BF33" s="89"/>
    </row>
    <row r="34" spans="1:59" s="25" customFormat="1" x14ac:dyDescent="0.3">
      <c r="A34" s="19"/>
      <c r="B34" s="19"/>
      <c r="C34" s="50"/>
      <c r="D34" s="50"/>
      <c r="E34" s="50"/>
      <c r="F34" s="51"/>
      <c r="G34" s="57"/>
      <c r="H34" s="51"/>
      <c r="I34" s="52"/>
      <c r="J34" s="20"/>
      <c r="K34" s="21"/>
      <c r="L34" s="21"/>
      <c r="M34" s="46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59"/>
      <c r="AM34" s="23"/>
      <c r="AN34" s="23"/>
      <c r="AO34" s="24"/>
      <c r="AQ34" s="35"/>
      <c r="AR34" s="35"/>
      <c r="AS34" s="35"/>
      <c r="AT34" s="35"/>
      <c r="AU34" s="35"/>
      <c r="AV34" s="35"/>
      <c r="AW34" s="35"/>
      <c r="AX34" s="35"/>
      <c r="AY34" s="35"/>
      <c r="BA34" s="35"/>
      <c r="BD34" s="55"/>
      <c r="BF34" s="89"/>
    </row>
    <row r="35" spans="1:59" s="25" customFormat="1" x14ac:dyDescent="0.3">
      <c r="A35" s="19"/>
      <c r="B35" s="19"/>
      <c r="C35" s="50"/>
      <c r="D35" s="50"/>
      <c r="E35" s="50"/>
      <c r="F35" s="51"/>
      <c r="G35" s="57"/>
      <c r="H35" s="51"/>
      <c r="I35" s="52"/>
      <c r="J35" s="20"/>
      <c r="K35" s="21"/>
      <c r="L35" s="21"/>
      <c r="M35" s="46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59"/>
      <c r="AM35" s="23"/>
      <c r="AN35" s="23"/>
      <c r="AO35" s="24"/>
      <c r="AQ35" s="35"/>
      <c r="AR35" s="35"/>
      <c r="AS35" s="35"/>
      <c r="AT35" s="35"/>
      <c r="AU35" s="35"/>
      <c r="AV35" s="35"/>
      <c r="AW35" s="35"/>
      <c r="AX35" s="35"/>
      <c r="AY35" s="35"/>
      <c r="BA35" s="35"/>
      <c r="BD35" s="55"/>
      <c r="BF35" s="89"/>
    </row>
    <row r="36" spans="1:59" s="25" customFormat="1" x14ac:dyDescent="0.3">
      <c r="A36" s="19"/>
      <c r="B36" s="19"/>
      <c r="C36" s="50"/>
      <c r="D36" s="50"/>
      <c r="E36" s="50"/>
      <c r="F36" s="51"/>
      <c r="G36" s="57"/>
      <c r="H36" s="51"/>
      <c r="I36" s="52"/>
      <c r="J36" s="20"/>
      <c r="K36" s="21"/>
      <c r="L36" s="21"/>
      <c r="M36" s="46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59"/>
      <c r="AM36" s="23"/>
      <c r="AN36" s="23"/>
      <c r="AO36" s="24"/>
      <c r="AQ36" s="35"/>
      <c r="AR36" s="35"/>
      <c r="AS36" s="35"/>
      <c r="AT36" s="35"/>
      <c r="AU36" s="35"/>
      <c r="AV36" s="35"/>
      <c r="AW36" s="35"/>
      <c r="AX36" s="35"/>
      <c r="AY36" s="35"/>
      <c r="BA36" s="35"/>
      <c r="BD36" s="55"/>
      <c r="BF36" s="89"/>
    </row>
    <row r="37" spans="1:59" s="25" customFormat="1" x14ac:dyDescent="0.3">
      <c r="A37" s="19"/>
      <c r="B37" s="19"/>
      <c r="C37" s="50"/>
      <c r="D37" s="50"/>
      <c r="E37" s="50"/>
      <c r="F37" s="51"/>
      <c r="G37" s="57"/>
      <c r="H37" s="51"/>
      <c r="I37" s="52"/>
      <c r="J37" s="20"/>
      <c r="K37" s="21"/>
      <c r="L37" s="21"/>
      <c r="M37" s="46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59"/>
      <c r="AM37" s="23"/>
      <c r="AN37" s="23"/>
      <c r="AO37" s="24"/>
      <c r="AQ37" s="35"/>
      <c r="AR37" s="35"/>
      <c r="AS37" s="35"/>
      <c r="AT37" s="35"/>
      <c r="AU37" s="35"/>
      <c r="AV37" s="35"/>
      <c r="AW37" s="35"/>
      <c r="AX37" s="35"/>
      <c r="AY37" s="35"/>
      <c r="BA37" s="35"/>
      <c r="BD37" s="55"/>
      <c r="BF37" s="89"/>
    </row>
    <row r="38" spans="1:59" s="54" customFormat="1" x14ac:dyDescent="0.3">
      <c r="A38" s="19"/>
      <c r="B38" s="19"/>
      <c r="C38" s="50"/>
      <c r="D38" s="50"/>
      <c r="E38" s="50"/>
      <c r="F38" s="51"/>
      <c r="G38" s="57"/>
      <c r="H38" s="51"/>
      <c r="I38" s="52"/>
      <c r="J38" s="20"/>
      <c r="K38" s="21"/>
      <c r="L38" s="21"/>
      <c r="M38" s="46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59"/>
      <c r="AM38" s="23"/>
      <c r="AN38" s="23"/>
      <c r="AO38" s="24"/>
      <c r="AP38" s="25"/>
      <c r="AQ38" s="35"/>
      <c r="AR38" s="35"/>
      <c r="AS38" s="35"/>
      <c r="AT38" s="35"/>
      <c r="AU38" s="35"/>
      <c r="AV38" s="35"/>
      <c r="AW38" s="35"/>
      <c r="AX38" s="35"/>
      <c r="AY38" s="35"/>
      <c r="AZ38" s="25"/>
      <c r="BA38" s="35"/>
      <c r="BB38" s="25"/>
      <c r="BC38" s="25"/>
      <c r="BD38" s="55"/>
      <c r="BE38" s="25"/>
      <c r="BF38" s="89"/>
      <c r="BG38" s="25"/>
    </row>
    <row r="39" spans="1:59" s="25" customFormat="1" x14ac:dyDescent="0.3">
      <c r="A39" s="19"/>
      <c r="B39" s="19"/>
      <c r="C39" s="50"/>
      <c r="D39" s="50"/>
      <c r="E39" s="50"/>
      <c r="F39" s="51"/>
      <c r="G39" s="57"/>
      <c r="H39" s="51"/>
      <c r="I39" s="52"/>
      <c r="J39" s="20"/>
      <c r="K39" s="21"/>
      <c r="L39" s="21"/>
      <c r="M39" s="46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59"/>
      <c r="AM39" s="23"/>
      <c r="AN39" s="23"/>
      <c r="AO39" s="24"/>
      <c r="AQ39" s="35"/>
      <c r="AR39" s="35"/>
      <c r="AS39" s="35"/>
      <c r="AT39" s="35"/>
      <c r="AU39" s="35"/>
      <c r="AV39" s="35"/>
      <c r="AW39" s="35"/>
      <c r="AX39" s="35"/>
      <c r="AY39" s="35"/>
      <c r="BA39" s="35"/>
      <c r="BD39" s="55"/>
      <c r="BF39" s="89"/>
    </row>
    <row r="40" spans="1:59" s="25" customFormat="1" x14ac:dyDescent="0.3">
      <c r="A40" s="19"/>
      <c r="B40" s="19"/>
      <c r="C40" s="50"/>
      <c r="D40" s="50"/>
      <c r="E40" s="50"/>
      <c r="F40" s="51"/>
      <c r="G40" s="57"/>
      <c r="H40" s="51"/>
      <c r="I40" s="52"/>
      <c r="J40" s="20"/>
      <c r="K40" s="21"/>
      <c r="L40" s="21"/>
      <c r="M40" s="46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59"/>
      <c r="AM40" s="23"/>
      <c r="AN40" s="23"/>
      <c r="AO40" s="24"/>
      <c r="AQ40" s="35"/>
      <c r="AR40" s="35"/>
      <c r="AS40" s="35"/>
      <c r="AT40" s="35"/>
      <c r="AU40" s="35"/>
      <c r="AV40" s="35"/>
      <c r="AW40" s="35"/>
      <c r="AX40" s="35"/>
      <c r="AY40" s="35"/>
      <c r="BA40" s="35"/>
      <c r="BD40" s="55"/>
      <c r="BF40" s="89"/>
    </row>
    <row r="41" spans="1:59" s="25" customFormat="1" x14ac:dyDescent="0.3">
      <c r="A41" s="19"/>
      <c r="B41" s="19"/>
      <c r="C41" s="50"/>
      <c r="D41" s="50"/>
      <c r="E41" s="50"/>
      <c r="F41" s="51"/>
      <c r="G41" s="57"/>
      <c r="H41" s="51"/>
      <c r="I41" s="52"/>
      <c r="J41" s="20"/>
      <c r="K41" s="21"/>
      <c r="L41" s="21"/>
      <c r="M41" s="46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59"/>
      <c r="AM41" s="23"/>
      <c r="AN41" s="23"/>
      <c r="AO41" s="24"/>
      <c r="AQ41" s="35"/>
      <c r="AR41" s="35"/>
      <c r="AS41" s="35"/>
      <c r="AT41" s="35"/>
      <c r="AU41" s="35"/>
      <c r="AV41" s="35"/>
      <c r="AW41" s="35"/>
      <c r="AX41" s="35"/>
      <c r="AY41" s="35"/>
      <c r="BA41" s="35"/>
      <c r="BD41" s="55"/>
      <c r="BF41" s="89"/>
    </row>
    <row r="42" spans="1:59" s="25" customFormat="1" x14ac:dyDescent="0.3">
      <c r="A42" s="19"/>
      <c r="B42" s="19"/>
      <c r="C42" s="50"/>
      <c r="D42" s="50"/>
      <c r="E42" s="50"/>
      <c r="F42" s="51"/>
      <c r="G42" s="57"/>
      <c r="H42" s="51"/>
      <c r="I42" s="52"/>
      <c r="J42" s="20"/>
      <c r="K42" s="21"/>
      <c r="L42" s="21"/>
      <c r="M42" s="46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59"/>
      <c r="AM42" s="23"/>
      <c r="AN42" s="23"/>
      <c r="AO42" s="24"/>
      <c r="AQ42" s="35"/>
      <c r="AR42" s="35"/>
      <c r="AS42" s="35"/>
      <c r="AT42" s="35"/>
      <c r="AU42" s="35"/>
      <c r="AV42" s="35"/>
      <c r="AW42" s="35"/>
      <c r="AX42" s="35"/>
      <c r="AY42" s="35"/>
      <c r="BA42" s="35"/>
      <c r="BD42" s="55"/>
      <c r="BF42" s="89"/>
    </row>
    <row r="43" spans="1:59" s="25" customFormat="1" x14ac:dyDescent="0.3">
      <c r="A43" s="19"/>
      <c r="B43" s="19"/>
      <c r="C43" s="50"/>
      <c r="D43" s="50"/>
      <c r="E43" s="50"/>
      <c r="F43" s="51"/>
      <c r="G43" s="57"/>
      <c r="H43" s="51"/>
      <c r="I43" s="52"/>
      <c r="J43" s="20"/>
      <c r="K43" s="21"/>
      <c r="L43" s="21"/>
      <c r="M43" s="46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59"/>
      <c r="AM43" s="23"/>
      <c r="AN43" s="23"/>
      <c r="AO43" s="24"/>
      <c r="AQ43" s="35"/>
      <c r="AR43" s="35"/>
      <c r="AS43" s="35"/>
      <c r="AT43" s="35"/>
      <c r="AU43" s="35"/>
      <c r="AV43" s="35"/>
      <c r="AW43" s="35"/>
      <c r="AX43" s="35"/>
      <c r="AY43" s="35"/>
      <c r="BA43" s="35"/>
      <c r="BD43" s="55"/>
      <c r="BF43" s="89"/>
    </row>
    <row r="44" spans="1:59" s="25" customFormat="1" x14ac:dyDescent="0.3">
      <c r="A44" s="19"/>
      <c r="B44" s="19"/>
      <c r="C44" s="50"/>
      <c r="D44" s="50"/>
      <c r="E44" s="50"/>
      <c r="F44" s="51"/>
      <c r="G44" s="57"/>
      <c r="H44" s="51"/>
      <c r="I44" s="52"/>
      <c r="J44" s="20"/>
      <c r="K44" s="21"/>
      <c r="L44" s="21"/>
      <c r="M44" s="46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59"/>
      <c r="AM44" s="23"/>
      <c r="AN44" s="23"/>
      <c r="AO44" s="24"/>
      <c r="AQ44" s="35"/>
      <c r="AR44" s="35"/>
      <c r="AS44" s="35"/>
      <c r="AT44" s="35"/>
      <c r="AU44" s="35"/>
      <c r="AV44" s="35"/>
      <c r="AW44" s="35"/>
      <c r="AX44" s="35"/>
      <c r="AY44" s="35"/>
      <c r="BA44" s="35"/>
      <c r="BD44" s="55"/>
      <c r="BF44" s="89"/>
    </row>
    <row r="45" spans="1:59" s="54" customFormat="1" x14ac:dyDescent="0.3">
      <c r="A45" s="19"/>
      <c r="B45" s="19"/>
      <c r="C45" s="50"/>
      <c r="D45" s="50"/>
      <c r="E45" s="50"/>
      <c r="F45" s="51"/>
      <c r="G45" s="57"/>
      <c r="H45" s="51"/>
      <c r="I45" s="52"/>
      <c r="J45" s="20"/>
      <c r="K45" s="21"/>
      <c r="L45" s="21"/>
      <c r="M45" s="46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59"/>
      <c r="AM45" s="23"/>
      <c r="AN45" s="23"/>
      <c r="AO45" s="24"/>
      <c r="AP45" s="25"/>
      <c r="AQ45" s="35"/>
      <c r="AR45" s="35"/>
      <c r="AS45" s="35"/>
      <c r="AT45" s="35"/>
      <c r="AU45" s="35"/>
      <c r="AV45" s="35"/>
      <c r="AW45" s="35"/>
      <c r="AX45" s="35"/>
      <c r="AY45" s="35"/>
      <c r="AZ45" s="25"/>
      <c r="BA45" s="35"/>
      <c r="BB45" s="25"/>
      <c r="BC45" s="25"/>
      <c r="BD45" s="55"/>
      <c r="BE45" s="25"/>
      <c r="BF45" s="89"/>
      <c r="BG45" s="25"/>
    </row>
    <row r="46" spans="1:59" s="25" customFormat="1" x14ac:dyDescent="0.3">
      <c r="A46" s="19"/>
      <c r="B46" s="19"/>
      <c r="C46" s="50"/>
      <c r="D46" s="50"/>
      <c r="E46" s="50"/>
      <c r="F46" s="51"/>
      <c r="G46" s="57"/>
      <c r="H46" s="51"/>
      <c r="I46" s="52"/>
      <c r="J46" s="20"/>
      <c r="K46" s="21"/>
      <c r="L46" s="21"/>
      <c r="M46" s="46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59"/>
      <c r="AM46" s="23"/>
      <c r="AN46" s="23"/>
      <c r="AO46" s="24"/>
      <c r="AQ46" s="35"/>
      <c r="AR46" s="35"/>
      <c r="AS46" s="35"/>
      <c r="AT46" s="35"/>
      <c r="AU46" s="35"/>
      <c r="AV46" s="35"/>
      <c r="AW46" s="35"/>
      <c r="AX46" s="35"/>
      <c r="AY46" s="35"/>
      <c r="BA46" s="35"/>
      <c r="BD46" s="55"/>
      <c r="BF46" s="89"/>
    </row>
    <row r="47" spans="1:59" s="25" customFormat="1" x14ac:dyDescent="0.3">
      <c r="A47" s="19"/>
      <c r="B47" s="19"/>
      <c r="C47" s="50"/>
      <c r="D47" s="50"/>
      <c r="E47" s="50"/>
      <c r="F47" s="51"/>
      <c r="G47" s="57"/>
      <c r="H47" s="51"/>
      <c r="I47" s="52"/>
      <c r="J47" s="20"/>
      <c r="K47" s="21"/>
      <c r="L47" s="21"/>
      <c r="M47" s="46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59"/>
      <c r="AM47" s="23"/>
      <c r="AN47" s="23"/>
      <c r="AO47" s="24"/>
      <c r="AQ47" s="35"/>
      <c r="AR47" s="35"/>
      <c r="AS47" s="35"/>
      <c r="AT47" s="35"/>
      <c r="AU47" s="35"/>
      <c r="AV47" s="35"/>
      <c r="AW47" s="35"/>
      <c r="AX47" s="35"/>
      <c r="AY47" s="35"/>
      <c r="BA47" s="35"/>
      <c r="BD47" s="55"/>
      <c r="BF47" s="89"/>
    </row>
    <row r="48" spans="1:59" s="25" customFormat="1" x14ac:dyDescent="0.3">
      <c r="A48" s="19"/>
      <c r="B48" s="19"/>
      <c r="C48" s="50"/>
      <c r="D48" s="50"/>
      <c r="E48" s="50"/>
      <c r="F48" s="51"/>
      <c r="G48" s="57"/>
      <c r="H48" s="51"/>
      <c r="I48" s="52"/>
      <c r="J48" s="20"/>
      <c r="K48" s="21"/>
      <c r="L48" s="21"/>
      <c r="M48" s="46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59"/>
      <c r="AM48" s="23"/>
      <c r="AN48" s="23"/>
      <c r="AO48" s="24"/>
      <c r="AQ48" s="35"/>
      <c r="AR48" s="35"/>
      <c r="AS48" s="35"/>
      <c r="AT48" s="35"/>
      <c r="AU48" s="35"/>
      <c r="AV48" s="35"/>
      <c r="AW48" s="35"/>
      <c r="AX48" s="35"/>
      <c r="AY48" s="35"/>
      <c r="AZ48" s="54"/>
      <c r="BA48" s="35"/>
      <c r="BD48" s="55"/>
      <c r="BF48" s="89"/>
    </row>
    <row r="49" spans="1:59" s="25" customFormat="1" x14ac:dyDescent="0.3">
      <c r="A49" s="19"/>
      <c r="B49" s="19"/>
      <c r="C49" s="50"/>
      <c r="D49" s="50"/>
      <c r="E49" s="50"/>
      <c r="F49" s="51"/>
      <c r="G49" s="57"/>
      <c r="H49" s="51"/>
      <c r="I49" s="52"/>
      <c r="J49" s="20"/>
      <c r="K49" s="21"/>
      <c r="L49" s="21"/>
      <c r="M49" s="46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59"/>
      <c r="AM49" s="23"/>
      <c r="AN49" s="23"/>
      <c r="AO49" s="24"/>
      <c r="AQ49" s="35"/>
      <c r="AR49" s="35"/>
      <c r="AS49" s="35"/>
      <c r="AT49" s="35"/>
      <c r="AU49" s="35"/>
      <c r="AV49" s="35"/>
      <c r="AW49" s="35"/>
      <c r="AX49" s="35"/>
      <c r="AY49" s="35"/>
      <c r="BA49" s="35"/>
      <c r="BD49" s="55"/>
      <c r="BF49" s="89"/>
    </row>
    <row r="50" spans="1:59" s="25" customFormat="1" x14ac:dyDescent="0.3">
      <c r="A50" s="19"/>
      <c r="B50" s="19"/>
      <c r="C50" s="50"/>
      <c r="D50" s="50"/>
      <c r="E50" s="50"/>
      <c r="F50" s="51"/>
      <c r="G50" s="57"/>
      <c r="H50" s="51"/>
      <c r="I50" s="52"/>
      <c r="J50" s="20"/>
      <c r="K50" s="21"/>
      <c r="L50" s="21"/>
      <c r="M50" s="46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59"/>
      <c r="AM50" s="23"/>
      <c r="AN50" s="23"/>
      <c r="AO50" s="24"/>
      <c r="AQ50" s="35"/>
      <c r="AR50" s="35"/>
      <c r="AS50" s="35"/>
      <c r="AT50" s="35"/>
      <c r="AU50" s="35"/>
      <c r="AV50" s="35"/>
      <c r="AW50" s="35"/>
      <c r="AX50" s="35"/>
      <c r="AY50" s="35"/>
      <c r="AZ50" s="54"/>
      <c r="BA50" s="35"/>
      <c r="BB50" s="54"/>
      <c r="BD50" s="55"/>
      <c r="BF50" s="89"/>
    </row>
    <row r="51" spans="1:59" s="25" customFormat="1" x14ac:dyDescent="0.3">
      <c r="A51" s="19"/>
      <c r="B51" s="19"/>
      <c r="C51" s="50"/>
      <c r="D51" s="50"/>
      <c r="E51" s="50"/>
      <c r="F51" s="51"/>
      <c r="G51" s="57"/>
      <c r="H51" s="51"/>
      <c r="I51" s="52"/>
      <c r="J51" s="20"/>
      <c r="K51" s="21"/>
      <c r="L51" s="21"/>
      <c r="M51" s="46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59"/>
      <c r="AM51" s="23"/>
      <c r="AN51" s="23"/>
      <c r="AO51" s="24"/>
      <c r="AQ51" s="35"/>
      <c r="AR51" s="35"/>
      <c r="AS51" s="35"/>
      <c r="AT51" s="35"/>
      <c r="AU51" s="35"/>
      <c r="AV51" s="35"/>
      <c r="AW51" s="35"/>
      <c r="AX51" s="35"/>
      <c r="AY51" s="35"/>
      <c r="BA51" s="35"/>
      <c r="BD51" s="55"/>
      <c r="BF51" s="89"/>
    </row>
    <row r="52" spans="1:59" s="25" customFormat="1" x14ac:dyDescent="0.3">
      <c r="A52" s="19"/>
      <c r="B52" s="19"/>
      <c r="C52" s="50"/>
      <c r="D52" s="50"/>
      <c r="E52" s="50"/>
      <c r="F52" s="51"/>
      <c r="G52" s="57"/>
      <c r="H52" s="51"/>
      <c r="I52" s="52"/>
      <c r="J52" s="20"/>
      <c r="K52" s="21"/>
      <c r="L52" s="21"/>
      <c r="M52" s="46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59"/>
      <c r="AM52" s="23"/>
      <c r="AN52" s="23"/>
      <c r="AO52" s="24"/>
      <c r="AQ52" s="35"/>
      <c r="AR52" s="35"/>
      <c r="AS52" s="35"/>
      <c r="AT52" s="35"/>
      <c r="AU52" s="35"/>
      <c r="AV52" s="35"/>
      <c r="AW52" s="35"/>
      <c r="AX52" s="35"/>
      <c r="AY52" s="35"/>
      <c r="BA52" s="35"/>
      <c r="BD52" s="55"/>
      <c r="BF52" s="89"/>
    </row>
    <row r="53" spans="1:59" s="25" customFormat="1" x14ac:dyDescent="0.3">
      <c r="A53" s="19"/>
      <c r="B53" s="19"/>
      <c r="C53" s="50"/>
      <c r="D53" s="50"/>
      <c r="E53" s="50"/>
      <c r="F53" s="51"/>
      <c r="G53" s="57"/>
      <c r="H53" s="51"/>
      <c r="I53" s="52"/>
      <c r="J53" s="20"/>
      <c r="K53" s="21"/>
      <c r="L53" s="21"/>
      <c r="M53" s="46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59"/>
      <c r="AM53" s="23"/>
      <c r="AN53" s="23"/>
      <c r="AO53" s="24"/>
      <c r="AQ53" s="35"/>
      <c r="AR53" s="35"/>
      <c r="AS53" s="35"/>
      <c r="AT53" s="35"/>
      <c r="AU53" s="35"/>
      <c r="AV53" s="35"/>
      <c r="AW53" s="35"/>
      <c r="AX53" s="35"/>
      <c r="AY53" s="35"/>
      <c r="BA53" s="35"/>
      <c r="BD53" s="55"/>
      <c r="BF53" s="89"/>
    </row>
    <row r="54" spans="1:59" s="25" customFormat="1" x14ac:dyDescent="0.3">
      <c r="A54" s="19"/>
      <c r="B54" s="19"/>
      <c r="C54" s="50"/>
      <c r="D54" s="50"/>
      <c r="E54" s="50"/>
      <c r="F54" s="51"/>
      <c r="G54" s="57"/>
      <c r="H54" s="51"/>
      <c r="I54" s="52"/>
      <c r="J54" s="20"/>
      <c r="K54" s="21"/>
      <c r="L54" s="21"/>
      <c r="M54" s="46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59"/>
      <c r="AM54" s="23"/>
      <c r="AN54" s="23"/>
      <c r="AO54" s="24"/>
      <c r="AQ54" s="35"/>
      <c r="AR54" s="35"/>
      <c r="AS54" s="35"/>
      <c r="AT54" s="35"/>
      <c r="AU54" s="35"/>
      <c r="AV54" s="35"/>
      <c r="AW54" s="35"/>
      <c r="AX54" s="35"/>
      <c r="AY54" s="35"/>
      <c r="BA54" s="35"/>
      <c r="BD54" s="55"/>
      <c r="BF54" s="89"/>
    </row>
    <row r="55" spans="1:59" s="25" customFormat="1" x14ac:dyDescent="0.3">
      <c r="A55" s="19"/>
      <c r="B55" s="19"/>
      <c r="C55" s="50"/>
      <c r="D55" s="50"/>
      <c r="E55" s="50"/>
      <c r="F55" s="51"/>
      <c r="G55" s="57"/>
      <c r="H55" s="51"/>
      <c r="I55" s="52"/>
      <c r="J55" s="20"/>
      <c r="K55" s="21"/>
      <c r="L55" s="21"/>
      <c r="M55" s="46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59"/>
      <c r="AM55" s="23"/>
      <c r="AN55" s="23"/>
      <c r="AO55" s="24"/>
      <c r="AQ55" s="35"/>
      <c r="AR55" s="35"/>
      <c r="AS55" s="35"/>
      <c r="AT55" s="35"/>
      <c r="AU55" s="35"/>
      <c r="AV55" s="35"/>
      <c r="AW55" s="35"/>
      <c r="AX55" s="35"/>
      <c r="AY55" s="35"/>
      <c r="BA55" s="35"/>
      <c r="BD55" s="55"/>
      <c r="BF55" s="89"/>
    </row>
    <row r="56" spans="1:59" s="25" customFormat="1" x14ac:dyDescent="0.3">
      <c r="A56" s="19"/>
      <c r="B56" s="19"/>
      <c r="C56" s="50"/>
      <c r="D56" s="50"/>
      <c r="E56" s="50"/>
      <c r="F56" s="51"/>
      <c r="G56" s="57"/>
      <c r="H56" s="51"/>
      <c r="I56" s="52"/>
      <c r="J56" s="20"/>
      <c r="K56" s="21"/>
      <c r="L56" s="21"/>
      <c r="M56" s="46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59"/>
      <c r="AM56" s="23"/>
      <c r="AN56" s="23"/>
      <c r="AO56" s="24"/>
      <c r="AQ56" s="35"/>
      <c r="AR56" s="35"/>
      <c r="AS56" s="35"/>
      <c r="AT56" s="35"/>
      <c r="AU56" s="35"/>
      <c r="AV56" s="35"/>
      <c r="AW56" s="35"/>
      <c r="AX56" s="35"/>
      <c r="AY56" s="35"/>
      <c r="BA56" s="35"/>
      <c r="BD56" s="55"/>
      <c r="BF56" s="89"/>
    </row>
    <row r="57" spans="1:59" s="25" customFormat="1" x14ac:dyDescent="0.3">
      <c r="A57" s="19"/>
      <c r="B57" s="19"/>
      <c r="C57" s="50"/>
      <c r="D57" s="50"/>
      <c r="E57" s="50"/>
      <c r="F57" s="51"/>
      <c r="G57" s="57"/>
      <c r="H57" s="51"/>
      <c r="I57" s="52"/>
      <c r="J57" s="20"/>
      <c r="K57" s="21"/>
      <c r="L57" s="21"/>
      <c r="M57" s="46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59"/>
      <c r="AM57" s="23"/>
      <c r="AN57" s="23"/>
      <c r="AO57" s="24"/>
      <c r="AQ57" s="35"/>
      <c r="AR57" s="35"/>
      <c r="AS57" s="35"/>
      <c r="AT57" s="35"/>
      <c r="AU57" s="35"/>
      <c r="AV57" s="35"/>
      <c r="AW57" s="35"/>
      <c r="AX57" s="35"/>
      <c r="AY57" s="35"/>
      <c r="BA57" s="35"/>
      <c r="BD57" s="55"/>
      <c r="BF57" s="89"/>
    </row>
    <row r="58" spans="1:59" s="25" customFormat="1" x14ac:dyDescent="0.3">
      <c r="A58" s="19"/>
      <c r="B58" s="19"/>
      <c r="C58" s="50"/>
      <c r="D58" s="50"/>
      <c r="E58" s="50"/>
      <c r="F58" s="51"/>
      <c r="G58" s="57"/>
      <c r="H58" s="51"/>
      <c r="I58" s="52"/>
      <c r="J58" s="20"/>
      <c r="K58" s="21"/>
      <c r="L58" s="21"/>
      <c r="M58" s="46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59"/>
      <c r="AM58" s="23"/>
      <c r="AN58" s="23"/>
      <c r="AO58" s="24"/>
      <c r="AQ58" s="35"/>
      <c r="AR58" s="35"/>
      <c r="AS58" s="35"/>
      <c r="AT58" s="35"/>
      <c r="AU58" s="35"/>
      <c r="AV58" s="35"/>
      <c r="AW58" s="35"/>
      <c r="AX58" s="35"/>
      <c r="AY58" s="35"/>
      <c r="BA58" s="35"/>
      <c r="BD58" s="55"/>
      <c r="BF58" s="89"/>
    </row>
    <row r="59" spans="1:59" s="25" customFormat="1" x14ac:dyDescent="0.3">
      <c r="A59" s="19"/>
      <c r="B59" s="19"/>
      <c r="C59" s="50"/>
      <c r="D59" s="50"/>
      <c r="E59" s="50"/>
      <c r="F59" s="51"/>
      <c r="G59" s="57"/>
      <c r="H59" s="51"/>
      <c r="I59" s="52"/>
      <c r="J59" s="20"/>
      <c r="K59" s="21"/>
      <c r="L59" s="21"/>
      <c r="M59" s="46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59"/>
      <c r="AM59" s="23"/>
      <c r="AN59" s="23"/>
      <c r="AO59" s="24"/>
      <c r="AQ59" s="35"/>
      <c r="AR59" s="35"/>
      <c r="AS59" s="35"/>
      <c r="AT59" s="35"/>
      <c r="AU59" s="35"/>
      <c r="AV59" s="35"/>
      <c r="AW59" s="35"/>
      <c r="AX59" s="35"/>
      <c r="AY59" s="35"/>
      <c r="AZ59" s="54"/>
      <c r="BA59" s="35"/>
      <c r="BB59" s="54"/>
      <c r="BD59" s="55"/>
      <c r="BF59" s="89"/>
    </row>
    <row r="60" spans="1:59" s="25" customFormat="1" x14ac:dyDescent="0.3">
      <c r="A60" s="19"/>
      <c r="B60" s="19"/>
      <c r="C60" s="50"/>
      <c r="D60" s="50"/>
      <c r="E60" s="50"/>
      <c r="F60" s="51"/>
      <c r="G60" s="57"/>
      <c r="H60" s="51"/>
      <c r="I60" s="52"/>
      <c r="J60" s="20"/>
      <c r="K60" s="21"/>
      <c r="L60" s="21"/>
      <c r="M60" s="46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59"/>
      <c r="AM60" s="23"/>
      <c r="AN60" s="23"/>
      <c r="AO60" s="24"/>
      <c r="AQ60" s="35"/>
      <c r="AR60" s="35"/>
      <c r="AS60" s="35"/>
      <c r="AT60" s="35"/>
      <c r="AU60" s="35"/>
      <c r="AV60" s="35"/>
      <c r="AW60" s="35"/>
      <c r="AX60" s="35"/>
      <c r="AY60" s="35"/>
      <c r="BA60" s="35"/>
      <c r="BD60" s="55"/>
      <c r="BF60" s="89"/>
    </row>
    <row r="61" spans="1:59" s="25" customFormat="1" x14ac:dyDescent="0.3">
      <c r="A61" s="19"/>
      <c r="B61" s="19"/>
      <c r="C61" s="50"/>
      <c r="D61" s="50"/>
      <c r="E61" s="50"/>
      <c r="F61" s="51"/>
      <c r="G61" s="57"/>
      <c r="H61" s="51"/>
      <c r="I61" s="52"/>
      <c r="J61" s="20"/>
      <c r="K61" s="21"/>
      <c r="L61" s="21"/>
      <c r="M61" s="46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59"/>
      <c r="AM61" s="23"/>
      <c r="AN61" s="23"/>
      <c r="AO61" s="24"/>
      <c r="AQ61" s="35"/>
      <c r="AR61" s="35"/>
      <c r="AS61" s="35"/>
      <c r="AT61" s="35"/>
      <c r="AU61" s="35"/>
      <c r="AV61" s="35"/>
      <c r="AW61" s="35"/>
      <c r="AX61" s="35"/>
      <c r="AY61" s="35"/>
      <c r="BA61" s="35"/>
      <c r="BD61" s="55"/>
      <c r="BF61" s="89"/>
    </row>
    <row r="62" spans="1:59" s="25" customFormat="1" x14ac:dyDescent="0.3">
      <c r="A62" s="19"/>
      <c r="B62" s="19"/>
      <c r="C62" s="50"/>
      <c r="D62" s="50"/>
      <c r="E62" s="50"/>
      <c r="F62" s="51"/>
      <c r="G62" s="57"/>
      <c r="H62" s="51"/>
      <c r="I62" s="52"/>
      <c r="J62" s="20"/>
      <c r="K62" s="21"/>
      <c r="L62" s="21"/>
      <c r="M62" s="46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59"/>
      <c r="AM62" s="23"/>
      <c r="AN62" s="23"/>
      <c r="AO62" s="24"/>
      <c r="AQ62" s="35"/>
      <c r="AR62" s="35"/>
      <c r="AS62" s="35"/>
      <c r="AT62" s="35"/>
      <c r="AU62" s="35"/>
      <c r="AV62" s="35"/>
      <c r="AW62" s="35"/>
      <c r="AX62" s="35"/>
      <c r="AY62" s="35"/>
      <c r="BA62" s="35"/>
      <c r="BD62" s="55"/>
      <c r="BF62" s="89"/>
    </row>
    <row r="63" spans="1:59" s="54" customFormat="1" x14ac:dyDescent="0.3">
      <c r="A63" s="19"/>
      <c r="B63" s="19"/>
      <c r="C63" s="50"/>
      <c r="D63" s="50"/>
      <c r="E63" s="50"/>
      <c r="F63" s="51"/>
      <c r="G63" s="57"/>
      <c r="H63" s="51"/>
      <c r="I63" s="52"/>
      <c r="J63" s="20"/>
      <c r="K63" s="21"/>
      <c r="L63" s="21"/>
      <c r="M63" s="46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59"/>
      <c r="AM63" s="23"/>
      <c r="AN63" s="23"/>
      <c r="AO63" s="24"/>
      <c r="AP63" s="25"/>
      <c r="AQ63" s="35"/>
      <c r="AR63" s="35"/>
      <c r="AS63" s="35"/>
      <c r="AT63" s="35"/>
      <c r="AU63" s="35"/>
      <c r="AV63" s="35"/>
      <c r="AW63" s="35"/>
      <c r="AX63" s="35"/>
      <c r="AY63" s="35"/>
      <c r="AZ63" s="25"/>
      <c r="BA63" s="35"/>
      <c r="BB63" s="25"/>
      <c r="BC63" s="25"/>
      <c r="BD63" s="55"/>
      <c r="BE63" s="25"/>
      <c r="BF63" s="89"/>
      <c r="BG63" s="25"/>
    </row>
    <row r="64" spans="1:59" s="25" customFormat="1" x14ac:dyDescent="0.3">
      <c r="A64" s="19"/>
      <c r="B64" s="19"/>
      <c r="C64" s="50"/>
      <c r="D64" s="50"/>
      <c r="E64" s="50"/>
      <c r="F64" s="51"/>
      <c r="G64" s="57"/>
      <c r="H64" s="51"/>
      <c r="I64" s="52"/>
      <c r="J64" s="20"/>
      <c r="K64" s="21"/>
      <c r="L64" s="21"/>
      <c r="M64" s="46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59"/>
      <c r="AM64" s="23"/>
      <c r="AN64" s="23"/>
      <c r="AO64" s="24"/>
      <c r="AQ64" s="35"/>
      <c r="AR64" s="35"/>
      <c r="AS64" s="35"/>
      <c r="AT64" s="35"/>
      <c r="AU64" s="35"/>
      <c r="AV64" s="35"/>
      <c r="AW64" s="35"/>
      <c r="AX64" s="35"/>
      <c r="AY64" s="35"/>
      <c r="BA64" s="35"/>
      <c r="BD64" s="55"/>
      <c r="BF64" s="89"/>
    </row>
    <row r="65" spans="1:59" s="25" customFormat="1" x14ac:dyDescent="0.3">
      <c r="A65" s="19"/>
      <c r="B65" s="19"/>
      <c r="C65" s="50"/>
      <c r="D65" s="50"/>
      <c r="E65" s="50"/>
      <c r="F65" s="51"/>
      <c r="G65" s="57"/>
      <c r="H65" s="51"/>
      <c r="I65" s="52"/>
      <c r="J65" s="20"/>
      <c r="K65" s="21"/>
      <c r="L65" s="21"/>
      <c r="M65" s="46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59"/>
      <c r="AM65" s="23"/>
      <c r="AN65" s="23"/>
      <c r="AO65" s="24"/>
      <c r="AQ65" s="35"/>
      <c r="AR65" s="35"/>
      <c r="AS65" s="35"/>
      <c r="AT65" s="35"/>
      <c r="AU65" s="35"/>
      <c r="AV65" s="35"/>
      <c r="AW65" s="35"/>
      <c r="AX65" s="35"/>
      <c r="AY65" s="35"/>
      <c r="BA65" s="35"/>
      <c r="BD65" s="55"/>
      <c r="BF65" s="89"/>
    </row>
    <row r="66" spans="1:59" s="54" customFormat="1" x14ac:dyDescent="0.3">
      <c r="A66" s="19"/>
      <c r="B66" s="19"/>
      <c r="C66" s="50"/>
      <c r="D66" s="50"/>
      <c r="E66" s="50"/>
      <c r="F66" s="51"/>
      <c r="G66" s="57"/>
      <c r="H66" s="51"/>
      <c r="I66" s="52"/>
      <c r="J66" s="20"/>
      <c r="K66" s="21"/>
      <c r="L66" s="21"/>
      <c r="M66" s="46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59"/>
      <c r="AM66" s="23"/>
      <c r="AN66" s="23"/>
      <c r="AO66" s="24"/>
      <c r="AP66" s="25"/>
      <c r="AQ66" s="35"/>
      <c r="AR66" s="35"/>
      <c r="AS66" s="35"/>
      <c r="AT66" s="35"/>
      <c r="AU66" s="35"/>
      <c r="AV66" s="35"/>
      <c r="AW66" s="35"/>
      <c r="AX66" s="35"/>
      <c r="AY66" s="35"/>
      <c r="BA66" s="35"/>
      <c r="BB66" s="25"/>
      <c r="BC66" s="25"/>
      <c r="BD66" s="55"/>
      <c r="BE66" s="25"/>
      <c r="BF66" s="89"/>
      <c r="BG66" s="25"/>
    </row>
    <row r="67" spans="1:59" s="54" customFormat="1" x14ac:dyDescent="0.3">
      <c r="A67" s="19"/>
      <c r="B67" s="19"/>
      <c r="C67" s="50"/>
      <c r="D67" s="50"/>
      <c r="E67" s="50"/>
      <c r="F67" s="51"/>
      <c r="G67" s="57"/>
      <c r="H67" s="51"/>
      <c r="I67" s="52"/>
      <c r="J67" s="20"/>
      <c r="K67" s="21"/>
      <c r="L67" s="21"/>
      <c r="M67" s="46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59"/>
      <c r="AM67" s="23"/>
      <c r="AN67" s="23"/>
      <c r="AO67" s="24"/>
      <c r="AP67" s="25"/>
      <c r="AQ67" s="35"/>
      <c r="AR67" s="35"/>
      <c r="AS67" s="35"/>
      <c r="AT67" s="35"/>
      <c r="AU67" s="35"/>
      <c r="AV67" s="35"/>
      <c r="AW67" s="35"/>
      <c r="AX67" s="35"/>
      <c r="AY67" s="35"/>
      <c r="AZ67" s="25"/>
      <c r="BA67" s="35"/>
      <c r="BB67" s="25"/>
      <c r="BC67" s="25"/>
      <c r="BD67" s="55"/>
      <c r="BE67" s="25"/>
      <c r="BF67" s="89"/>
      <c r="BG67" s="25"/>
    </row>
    <row r="68" spans="1:59" s="25" customFormat="1" x14ac:dyDescent="0.3">
      <c r="A68" s="19"/>
      <c r="B68" s="19"/>
      <c r="C68" s="50"/>
      <c r="D68" s="50"/>
      <c r="E68" s="50"/>
      <c r="F68" s="51"/>
      <c r="G68" s="57"/>
      <c r="H68" s="51"/>
      <c r="I68" s="52"/>
      <c r="J68" s="20"/>
      <c r="K68" s="21"/>
      <c r="L68" s="21"/>
      <c r="M68" s="46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59"/>
      <c r="AM68" s="23"/>
      <c r="AN68" s="23"/>
      <c r="AO68" s="24"/>
      <c r="AQ68" s="35"/>
      <c r="AR68" s="35"/>
      <c r="AS68" s="35"/>
      <c r="AT68" s="35"/>
      <c r="AU68" s="35"/>
      <c r="AV68" s="35"/>
      <c r="AW68" s="35"/>
      <c r="AX68" s="35"/>
      <c r="AY68" s="35"/>
      <c r="BA68" s="35"/>
      <c r="BD68" s="55"/>
      <c r="BF68" s="89"/>
    </row>
    <row r="69" spans="1:59" s="25" customFormat="1" x14ac:dyDescent="0.3">
      <c r="A69" s="19"/>
      <c r="B69" s="19"/>
      <c r="C69" s="50"/>
      <c r="D69" s="50"/>
      <c r="E69" s="50"/>
      <c r="F69" s="51"/>
      <c r="G69" s="57"/>
      <c r="H69" s="51"/>
      <c r="I69" s="52"/>
      <c r="J69" s="20"/>
      <c r="K69" s="21"/>
      <c r="L69" s="21"/>
      <c r="M69" s="46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59"/>
      <c r="AM69" s="23"/>
      <c r="AN69" s="23"/>
      <c r="AO69" s="24"/>
      <c r="AQ69" s="35"/>
      <c r="AR69" s="35"/>
      <c r="AS69" s="35"/>
      <c r="AT69" s="35"/>
      <c r="AU69" s="35"/>
      <c r="AV69" s="35"/>
      <c r="AW69" s="35"/>
      <c r="AX69" s="35"/>
      <c r="AY69" s="35"/>
      <c r="BA69" s="35"/>
      <c r="BD69" s="55"/>
      <c r="BF69" s="89"/>
    </row>
    <row r="70" spans="1:59" s="25" customFormat="1" x14ac:dyDescent="0.3">
      <c r="A70" s="19"/>
      <c r="B70" s="19"/>
      <c r="C70" s="50"/>
      <c r="D70" s="50"/>
      <c r="E70" s="50"/>
      <c r="F70" s="51"/>
      <c r="G70" s="57"/>
      <c r="H70" s="51"/>
      <c r="I70" s="52"/>
      <c r="J70" s="20"/>
      <c r="K70" s="21"/>
      <c r="L70" s="21"/>
      <c r="M70" s="46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59"/>
      <c r="AM70" s="23"/>
      <c r="AN70" s="23"/>
      <c r="AO70" s="24"/>
      <c r="AQ70" s="35"/>
      <c r="AR70" s="35"/>
      <c r="AS70" s="35"/>
      <c r="AT70" s="35"/>
      <c r="AU70" s="35"/>
      <c r="AV70" s="35"/>
      <c r="AW70" s="35"/>
      <c r="AX70" s="35"/>
      <c r="AY70" s="35"/>
      <c r="AZ70" s="54"/>
      <c r="BA70" s="35"/>
      <c r="BD70" s="55"/>
      <c r="BF70" s="89"/>
    </row>
    <row r="71" spans="1:59" s="54" customFormat="1" x14ac:dyDescent="0.3">
      <c r="A71" s="19"/>
      <c r="B71" s="19"/>
      <c r="C71" s="50"/>
      <c r="D71" s="50"/>
      <c r="E71" s="50"/>
      <c r="F71" s="51"/>
      <c r="G71" s="57"/>
      <c r="H71" s="51"/>
      <c r="I71" s="52"/>
      <c r="J71" s="20"/>
      <c r="K71" s="21"/>
      <c r="L71" s="21"/>
      <c r="M71" s="46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59"/>
      <c r="AM71" s="23"/>
      <c r="AN71" s="23"/>
      <c r="AO71" s="24"/>
      <c r="AP71" s="25"/>
      <c r="AQ71" s="35"/>
      <c r="AR71" s="35"/>
      <c r="AS71" s="35"/>
      <c r="AT71" s="35"/>
      <c r="AU71" s="35"/>
      <c r="AV71" s="35"/>
      <c r="AW71" s="35"/>
      <c r="AX71" s="35"/>
      <c r="AY71" s="35"/>
      <c r="AZ71" s="25"/>
      <c r="BA71" s="35"/>
      <c r="BB71" s="25"/>
      <c r="BC71" s="25"/>
      <c r="BD71" s="55"/>
      <c r="BE71" s="25"/>
      <c r="BF71" s="89"/>
      <c r="BG71" s="25"/>
    </row>
    <row r="72" spans="1:59" s="25" customFormat="1" x14ac:dyDescent="0.3">
      <c r="A72" s="19"/>
      <c r="B72" s="19"/>
      <c r="C72" s="50"/>
      <c r="D72" s="50"/>
      <c r="E72" s="50"/>
      <c r="F72" s="51"/>
      <c r="G72" s="57"/>
      <c r="H72" s="51"/>
      <c r="I72" s="52"/>
      <c r="J72" s="20"/>
      <c r="K72" s="21"/>
      <c r="L72" s="21"/>
      <c r="M72" s="46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59"/>
      <c r="AM72" s="23"/>
      <c r="AN72" s="23"/>
      <c r="AO72" s="24"/>
      <c r="AQ72" s="35"/>
      <c r="AR72" s="35"/>
      <c r="AS72" s="35"/>
      <c r="AT72" s="35"/>
      <c r="AU72" s="35"/>
      <c r="AV72" s="35"/>
      <c r="AW72" s="35"/>
      <c r="AX72" s="35"/>
      <c r="AY72" s="35"/>
      <c r="BA72" s="35"/>
      <c r="BD72" s="55"/>
      <c r="BF72" s="89"/>
    </row>
    <row r="73" spans="1:59" s="25" customFormat="1" x14ac:dyDescent="0.3">
      <c r="A73" s="19"/>
      <c r="B73" s="19"/>
      <c r="C73" s="50"/>
      <c r="D73" s="50"/>
      <c r="E73" s="50"/>
      <c r="F73" s="51"/>
      <c r="G73" s="57"/>
      <c r="H73" s="51"/>
      <c r="I73" s="52"/>
      <c r="J73" s="20"/>
      <c r="K73" s="21"/>
      <c r="L73" s="21"/>
      <c r="M73" s="46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59"/>
      <c r="AM73" s="23"/>
      <c r="AN73" s="23"/>
      <c r="AO73" s="24"/>
      <c r="AQ73" s="35"/>
      <c r="AR73" s="35"/>
      <c r="AS73" s="35"/>
      <c r="AT73" s="35"/>
      <c r="AU73" s="35"/>
      <c r="AV73" s="35"/>
      <c r="AW73" s="35"/>
      <c r="AX73" s="35"/>
      <c r="AY73" s="35"/>
      <c r="BA73" s="35"/>
      <c r="BD73" s="55"/>
      <c r="BF73" s="89"/>
    </row>
    <row r="74" spans="1:59" s="25" customFormat="1" x14ac:dyDescent="0.3">
      <c r="A74" s="19"/>
      <c r="B74" s="19"/>
      <c r="C74" s="50"/>
      <c r="D74" s="50"/>
      <c r="E74" s="50"/>
      <c r="F74" s="51"/>
      <c r="G74" s="57"/>
      <c r="H74" s="51"/>
      <c r="I74" s="52"/>
      <c r="J74" s="20"/>
      <c r="K74" s="21"/>
      <c r="L74" s="21"/>
      <c r="M74" s="46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59"/>
      <c r="AM74" s="23"/>
      <c r="AN74" s="23"/>
      <c r="AO74" s="24"/>
      <c r="AQ74" s="35"/>
      <c r="AR74" s="35"/>
      <c r="AS74" s="35"/>
      <c r="AT74" s="35"/>
      <c r="AU74" s="35"/>
      <c r="AV74" s="35"/>
      <c r="AW74" s="35"/>
      <c r="AX74" s="35"/>
      <c r="AY74" s="35"/>
      <c r="BA74" s="35"/>
      <c r="BD74" s="55"/>
      <c r="BF74" s="89"/>
    </row>
    <row r="75" spans="1:59" s="25" customFormat="1" x14ac:dyDescent="0.3">
      <c r="A75" s="19"/>
      <c r="B75" s="19"/>
      <c r="C75" s="50"/>
      <c r="D75" s="50"/>
      <c r="E75" s="50"/>
      <c r="F75" s="51"/>
      <c r="G75" s="57"/>
      <c r="H75" s="51"/>
      <c r="I75" s="52"/>
      <c r="J75" s="20"/>
      <c r="K75" s="21"/>
      <c r="L75" s="21"/>
      <c r="M75" s="46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59"/>
      <c r="AM75" s="23"/>
      <c r="AN75" s="23"/>
      <c r="AO75" s="24"/>
      <c r="AQ75" s="35"/>
      <c r="AR75" s="35"/>
      <c r="AS75" s="35"/>
      <c r="AT75" s="35"/>
      <c r="AU75" s="35"/>
      <c r="AV75" s="35"/>
      <c r="AW75" s="35"/>
      <c r="AX75" s="35"/>
      <c r="AY75" s="35"/>
      <c r="AZ75" s="54"/>
      <c r="BA75" s="35"/>
      <c r="BD75" s="55"/>
      <c r="BF75" s="89"/>
    </row>
    <row r="76" spans="1:59" s="25" customFormat="1" x14ac:dyDescent="0.3">
      <c r="A76" s="19"/>
      <c r="B76" s="19"/>
      <c r="C76" s="50"/>
      <c r="D76" s="50"/>
      <c r="E76" s="50"/>
      <c r="F76" s="51"/>
      <c r="G76" s="57"/>
      <c r="H76" s="51"/>
      <c r="I76" s="52"/>
      <c r="J76" s="20"/>
      <c r="K76" s="21"/>
      <c r="L76" s="21"/>
      <c r="M76" s="46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59"/>
      <c r="AM76" s="23"/>
      <c r="AN76" s="23"/>
      <c r="AO76" s="24"/>
      <c r="AQ76" s="35"/>
      <c r="AR76" s="35"/>
      <c r="AS76" s="35"/>
      <c r="AT76" s="35"/>
      <c r="AU76" s="35"/>
      <c r="AV76" s="35"/>
      <c r="AW76" s="35"/>
      <c r="AX76" s="35"/>
      <c r="AY76" s="35"/>
      <c r="BA76" s="35"/>
      <c r="BD76" s="55"/>
      <c r="BF76" s="89"/>
    </row>
    <row r="77" spans="1:59" s="54" customFormat="1" x14ac:dyDescent="0.3">
      <c r="A77" s="19"/>
      <c r="B77" s="19"/>
      <c r="C77" s="50"/>
      <c r="D77" s="50"/>
      <c r="E77" s="50"/>
      <c r="F77" s="51"/>
      <c r="G77" s="57"/>
      <c r="H77" s="51"/>
      <c r="I77" s="52"/>
      <c r="J77" s="20"/>
      <c r="K77" s="21"/>
      <c r="L77" s="21"/>
      <c r="M77" s="46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59"/>
      <c r="AM77" s="23"/>
      <c r="AN77" s="23"/>
      <c r="AO77" s="24"/>
      <c r="AP77" s="25"/>
      <c r="AQ77" s="35"/>
      <c r="AR77" s="35"/>
      <c r="AS77" s="35"/>
      <c r="AT77" s="35"/>
      <c r="AU77" s="35"/>
      <c r="AV77" s="35"/>
      <c r="AW77" s="35"/>
      <c r="AX77" s="35"/>
      <c r="AY77" s="35"/>
      <c r="AZ77" s="25"/>
      <c r="BA77" s="35"/>
      <c r="BB77" s="25"/>
      <c r="BC77" s="25"/>
      <c r="BD77" s="55"/>
      <c r="BE77" s="25"/>
      <c r="BF77" s="89"/>
      <c r="BG77" s="25"/>
    </row>
    <row r="78" spans="1:59" s="25" customFormat="1" x14ac:dyDescent="0.3">
      <c r="A78" s="19"/>
      <c r="B78" s="19"/>
      <c r="C78" s="50"/>
      <c r="D78" s="50"/>
      <c r="E78" s="50"/>
      <c r="F78" s="51"/>
      <c r="G78" s="57"/>
      <c r="H78" s="51"/>
      <c r="I78" s="52"/>
      <c r="J78" s="20"/>
      <c r="K78" s="21"/>
      <c r="L78" s="21"/>
      <c r="M78" s="46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59"/>
      <c r="AM78" s="23"/>
      <c r="AN78" s="23"/>
      <c r="AO78" s="24"/>
      <c r="AQ78" s="35"/>
      <c r="AR78" s="35"/>
      <c r="AS78" s="35"/>
      <c r="AT78" s="35"/>
      <c r="AU78" s="35"/>
      <c r="AV78" s="35"/>
      <c r="AW78" s="35"/>
      <c r="AX78" s="35"/>
      <c r="AY78" s="35"/>
      <c r="BA78" s="35"/>
      <c r="BD78" s="55"/>
      <c r="BF78" s="89"/>
    </row>
    <row r="79" spans="1:59" s="25" customFormat="1" x14ac:dyDescent="0.3">
      <c r="A79" s="19"/>
      <c r="B79" s="19"/>
      <c r="C79" s="50"/>
      <c r="D79" s="50"/>
      <c r="E79" s="50"/>
      <c r="F79" s="51"/>
      <c r="G79" s="57"/>
      <c r="H79" s="51"/>
      <c r="I79" s="52"/>
      <c r="J79" s="20"/>
      <c r="K79" s="21"/>
      <c r="L79" s="21"/>
      <c r="M79" s="46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59"/>
      <c r="AM79" s="23"/>
      <c r="AN79" s="23"/>
      <c r="AO79" s="24"/>
      <c r="AQ79" s="35"/>
      <c r="AR79" s="35"/>
      <c r="AS79" s="35"/>
      <c r="AT79" s="35"/>
      <c r="AU79" s="35"/>
      <c r="AV79" s="35"/>
      <c r="AW79" s="35"/>
      <c r="AX79" s="35"/>
      <c r="AY79" s="35"/>
      <c r="BA79" s="35"/>
      <c r="BD79" s="55"/>
      <c r="BF79" s="89"/>
    </row>
    <row r="80" spans="1:59" s="25" customFormat="1" x14ac:dyDescent="0.3">
      <c r="A80" s="19"/>
      <c r="B80" s="19"/>
      <c r="C80" s="50"/>
      <c r="D80" s="50"/>
      <c r="E80" s="50"/>
      <c r="F80" s="51"/>
      <c r="G80" s="57"/>
      <c r="H80" s="51"/>
      <c r="I80" s="52"/>
      <c r="J80" s="20"/>
      <c r="K80" s="21"/>
      <c r="L80" s="21"/>
      <c r="M80" s="46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59"/>
      <c r="AM80" s="23"/>
      <c r="AN80" s="23"/>
      <c r="AO80" s="24"/>
      <c r="AQ80" s="35"/>
      <c r="AR80" s="35"/>
      <c r="AS80" s="35"/>
      <c r="AT80" s="35"/>
      <c r="AU80" s="35"/>
      <c r="AV80" s="35"/>
      <c r="AW80" s="35"/>
      <c r="AX80" s="35"/>
      <c r="AY80" s="35"/>
      <c r="BA80" s="35"/>
      <c r="BD80" s="55"/>
      <c r="BF80" s="89"/>
    </row>
    <row r="81" spans="1:59" s="25" customFormat="1" x14ac:dyDescent="0.3">
      <c r="A81" s="19"/>
      <c r="B81" s="19"/>
      <c r="C81" s="50"/>
      <c r="D81" s="50"/>
      <c r="E81" s="50"/>
      <c r="F81" s="51"/>
      <c r="G81" s="57"/>
      <c r="H81" s="51"/>
      <c r="I81" s="52"/>
      <c r="J81" s="20"/>
      <c r="K81" s="21"/>
      <c r="L81" s="21"/>
      <c r="M81" s="46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59"/>
      <c r="AM81" s="23"/>
      <c r="AN81" s="23"/>
      <c r="AO81" s="24"/>
      <c r="AQ81" s="35"/>
      <c r="AR81" s="35"/>
      <c r="AS81" s="35"/>
      <c r="AT81" s="35"/>
      <c r="AU81" s="35"/>
      <c r="AV81" s="35"/>
      <c r="AW81" s="35"/>
      <c r="AX81" s="35"/>
      <c r="AY81" s="35"/>
      <c r="BA81" s="35"/>
      <c r="BD81" s="55"/>
      <c r="BF81" s="89"/>
    </row>
    <row r="82" spans="1:59" s="25" customFormat="1" x14ac:dyDescent="0.3">
      <c r="A82" s="19"/>
      <c r="B82" s="19"/>
      <c r="C82" s="50"/>
      <c r="D82" s="50"/>
      <c r="E82" s="50"/>
      <c r="F82" s="51"/>
      <c r="G82" s="57"/>
      <c r="H82" s="51"/>
      <c r="I82" s="52"/>
      <c r="J82" s="20"/>
      <c r="K82" s="21"/>
      <c r="L82" s="21"/>
      <c r="M82" s="46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59"/>
      <c r="AM82" s="23"/>
      <c r="AN82" s="23"/>
      <c r="AO82" s="24"/>
      <c r="AQ82" s="35"/>
      <c r="AR82" s="35"/>
      <c r="AS82" s="35"/>
      <c r="AT82" s="35"/>
      <c r="AU82" s="35"/>
      <c r="AV82" s="35"/>
      <c r="AW82" s="35"/>
      <c r="AX82" s="35"/>
      <c r="AY82" s="35"/>
      <c r="BA82" s="35"/>
      <c r="BD82" s="55"/>
      <c r="BF82" s="89"/>
    </row>
    <row r="83" spans="1:59" s="25" customFormat="1" x14ac:dyDescent="0.3">
      <c r="A83" s="19"/>
      <c r="B83" s="19"/>
      <c r="C83" s="50"/>
      <c r="D83" s="50"/>
      <c r="E83" s="50"/>
      <c r="F83" s="51"/>
      <c r="G83" s="57"/>
      <c r="H83" s="51"/>
      <c r="I83" s="52"/>
      <c r="J83" s="20"/>
      <c r="K83" s="21"/>
      <c r="L83" s="21"/>
      <c r="M83" s="46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59"/>
      <c r="AM83" s="23"/>
      <c r="AN83" s="23"/>
      <c r="AO83" s="24"/>
      <c r="AQ83" s="35"/>
      <c r="AR83" s="35"/>
      <c r="AS83" s="35"/>
      <c r="AT83" s="35"/>
      <c r="AU83" s="35"/>
      <c r="AV83" s="35"/>
      <c r="AW83" s="35"/>
      <c r="AX83" s="35"/>
      <c r="AY83" s="35"/>
      <c r="BA83" s="35"/>
      <c r="BD83" s="55"/>
      <c r="BF83" s="89"/>
    </row>
    <row r="84" spans="1:59" s="54" customFormat="1" x14ac:dyDescent="0.3">
      <c r="A84" s="19"/>
      <c r="B84" s="19"/>
      <c r="C84" s="50"/>
      <c r="D84" s="50"/>
      <c r="E84" s="50"/>
      <c r="F84" s="51"/>
      <c r="G84" s="57"/>
      <c r="H84" s="51"/>
      <c r="I84" s="52"/>
      <c r="J84" s="20"/>
      <c r="K84" s="21"/>
      <c r="L84" s="21"/>
      <c r="M84" s="46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59"/>
      <c r="AM84" s="23"/>
      <c r="AN84" s="23"/>
      <c r="AO84" s="24"/>
      <c r="AP84" s="25"/>
      <c r="AQ84" s="35"/>
      <c r="AR84" s="35"/>
      <c r="AS84" s="35"/>
      <c r="AT84" s="35"/>
      <c r="AU84" s="35"/>
      <c r="AV84" s="35"/>
      <c r="AW84" s="35"/>
      <c r="AX84" s="35"/>
      <c r="AY84" s="35"/>
      <c r="BA84" s="35"/>
      <c r="BB84" s="25"/>
      <c r="BC84" s="25"/>
      <c r="BD84" s="55"/>
      <c r="BE84" s="25"/>
      <c r="BF84" s="89"/>
      <c r="BG84" s="25"/>
    </row>
    <row r="85" spans="1:59" s="25" customFormat="1" x14ac:dyDescent="0.3">
      <c r="A85" s="19"/>
      <c r="B85" s="19"/>
      <c r="C85" s="50"/>
      <c r="D85" s="50"/>
      <c r="E85" s="50"/>
      <c r="F85" s="51"/>
      <c r="G85" s="57"/>
      <c r="H85" s="51"/>
      <c r="I85" s="52"/>
      <c r="J85" s="20"/>
      <c r="K85" s="21"/>
      <c r="L85" s="21"/>
      <c r="M85" s="46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59"/>
      <c r="AM85" s="23"/>
      <c r="AN85" s="23"/>
      <c r="AO85" s="24"/>
      <c r="AQ85" s="35"/>
      <c r="AR85" s="35"/>
      <c r="AS85" s="35"/>
      <c r="AT85" s="35"/>
      <c r="AU85" s="35"/>
      <c r="AV85" s="35"/>
      <c r="AW85" s="35"/>
      <c r="AX85" s="35"/>
      <c r="AY85" s="35"/>
      <c r="BA85" s="35"/>
      <c r="BD85" s="55"/>
      <c r="BF85" s="89"/>
    </row>
    <row r="86" spans="1:59" s="25" customFormat="1" x14ac:dyDescent="0.3">
      <c r="A86" s="19"/>
      <c r="B86" s="19"/>
      <c r="C86" s="50"/>
      <c r="D86" s="50"/>
      <c r="E86" s="50"/>
      <c r="F86" s="51"/>
      <c r="G86" s="57"/>
      <c r="H86" s="51"/>
      <c r="I86" s="52"/>
      <c r="J86" s="20"/>
      <c r="K86" s="21"/>
      <c r="L86" s="21"/>
      <c r="M86" s="46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59"/>
      <c r="AM86" s="23"/>
      <c r="AN86" s="23"/>
      <c r="AO86" s="24"/>
      <c r="AQ86" s="35"/>
      <c r="AR86" s="35"/>
      <c r="AS86" s="35"/>
      <c r="AT86" s="35"/>
      <c r="AU86" s="35"/>
      <c r="AV86" s="35"/>
      <c r="AW86" s="35"/>
      <c r="AX86" s="35"/>
      <c r="AY86" s="35"/>
      <c r="AZ86" s="54"/>
      <c r="BA86" s="35"/>
      <c r="BD86" s="55"/>
      <c r="BF86" s="89"/>
    </row>
    <row r="87" spans="1:59" s="25" customFormat="1" x14ac:dyDescent="0.3">
      <c r="A87" s="19"/>
      <c r="B87" s="19"/>
      <c r="C87" s="50"/>
      <c r="D87" s="50"/>
      <c r="E87" s="50"/>
      <c r="F87" s="51"/>
      <c r="G87" s="57"/>
      <c r="H87" s="51"/>
      <c r="I87" s="52"/>
      <c r="J87" s="20"/>
      <c r="K87" s="21"/>
      <c r="L87" s="21"/>
      <c r="M87" s="46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59"/>
      <c r="AM87" s="23"/>
      <c r="AN87" s="23"/>
      <c r="AO87" s="24"/>
      <c r="AQ87" s="35"/>
      <c r="AR87" s="35"/>
      <c r="AS87" s="35"/>
      <c r="AT87" s="35"/>
      <c r="AU87" s="35"/>
      <c r="AV87" s="35"/>
      <c r="AW87" s="35"/>
      <c r="AX87" s="35"/>
      <c r="AY87" s="35"/>
      <c r="BA87" s="35"/>
      <c r="BD87" s="55"/>
      <c r="BF87" s="89"/>
    </row>
    <row r="88" spans="1:59" s="25" customFormat="1" x14ac:dyDescent="0.3">
      <c r="A88" s="19"/>
      <c r="B88" s="19"/>
      <c r="C88" s="50"/>
      <c r="D88" s="50"/>
      <c r="E88" s="50"/>
      <c r="F88" s="51"/>
      <c r="G88" s="57"/>
      <c r="H88" s="51"/>
      <c r="I88" s="52"/>
      <c r="J88" s="20"/>
      <c r="K88" s="21"/>
      <c r="L88" s="21"/>
      <c r="M88" s="46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59"/>
      <c r="AM88" s="23"/>
      <c r="AN88" s="23"/>
      <c r="AO88" s="24"/>
      <c r="AQ88" s="35"/>
      <c r="AR88" s="35"/>
      <c r="AS88" s="35"/>
      <c r="AT88" s="35"/>
      <c r="AU88" s="35"/>
      <c r="AV88" s="35"/>
      <c r="AW88" s="35"/>
      <c r="AX88" s="35"/>
      <c r="AY88" s="35"/>
      <c r="BA88" s="35"/>
      <c r="BD88" s="55"/>
      <c r="BF88" s="89"/>
    </row>
    <row r="89" spans="1:59" s="25" customFormat="1" x14ac:dyDescent="0.3">
      <c r="A89" s="19"/>
      <c r="B89" s="19"/>
      <c r="C89" s="50"/>
      <c r="D89" s="50"/>
      <c r="E89" s="50"/>
      <c r="F89" s="51"/>
      <c r="G89" s="57"/>
      <c r="H89" s="51"/>
      <c r="I89" s="52"/>
      <c r="J89" s="20"/>
      <c r="K89" s="21"/>
      <c r="L89" s="21"/>
      <c r="M89" s="46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59"/>
      <c r="AM89" s="23"/>
      <c r="AN89" s="23"/>
      <c r="AO89" s="24"/>
      <c r="AQ89" s="35"/>
      <c r="AR89" s="35"/>
      <c r="AS89" s="35"/>
      <c r="AT89" s="35"/>
      <c r="AU89" s="35"/>
      <c r="AV89" s="35"/>
      <c r="AW89" s="35"/>
      <c r="AX89" s="35"/>
      <c r="AY89" s="35"/>
      <c r="BA89" s="35"/>
      <c r="BD89" s="55"/>
      <c r="BF89" s="89"/>
    </row>
    <row r="90" spans="1:59" s="25" customFormat="1" x14ac:dyDescent="0.3">
      <c r="A90" s="19"/>
      <c r="B90" s="19"/>
      <c r="C90" s="50"/>
      <c r="D90" s="50"/>
      <c r="E90" s="50"/>
      <c r="F90" s="51"/>
      <c r="G90" s="57"/>
      <c r="H90" s="51"/>
      <c r="I90" s="52"/>
      <c r="J90" s="20"/>
      <c r="K90" s="21"/>
      <c r="L90" s="21"/>
      <c r="M90" s="46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59"/>
      <c r="AM90" s="23"/>
      <c r="AN90" s="23"/>
      <c r="AO90" s="24"/>
      <c r="AQ90" s="35"/>
      <c r="AR90" s="35"/>
      <c r="AS90" s="35"/>
      <c r="AT90" s="35"/>
      <c r="AU90" s="35"/>
      <c r="AV90" s="35"/>
      <c r="AW90" s="35"/>
      <c r="AX90" s="35"/>
      <c r="AY90" s="35"/>
      <c r="BA90" s="35"/>
      <c r="BD90" s="55"/>
      <c r="BF90" s="89"/>
    </row>
    <row r="91" spans="1:59" s="54" customFormat="1" x14ac:dyDescent="0.3">
      <c r="A91" s="19"/>
      <c r="B91" s="19"/>
      <c r="C91" s="50"/>
      <c r="D91" s="50"/>
      <c r="E91" s="50"/>
      <c r="F91" s="51"/>
      <c r="G91" s="57"/>
      <c r="H91" s="51"/>
      <c r="I91" s="52"/>
      <c r="J91" s="20"/>
      <c r="K91" s="21"/>
      <c r="L91" s="21"/>
      <c r="M91" s="46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59"/>
      <c r="AM91" s="23"/>
      <c r="AN91" s="23"/>
      <c r="AO91" s="24"/>
      <c r="AP91" s="25"/>
      <c r="AQ91" s="35"/>
      <c r="AR91" s="35"/>
      <c r="AS91" s="35"/>
      <c r="AT91" s="35"/>
      <c r="AU91" s="35"/>
      <c r="AV91" s="35"/>
      <c r="AW91" s="35"/>
      <c r="AX91" s="35"/>
      <c r="AY91" s="35"/>
      <c r="AZ91" s="25"/>
      <c r="BA91" s="35"/>
      <c r="BB91" s="25"/>
      <c r="BC91" s="25"/>
      <c r="BD91" s="55"/>
      <c r="BE91" s="25"/>
      <c r="BF91" s="89"/>
      <c r="BG91" s="25"/>
    </row>
    <row r="92" spans="1:59" s="25" customFormat="1" x14ac:dyDescent="0.3">
      <c r="A92" s="19"/>
      <c r="B92" s="19"/>
      <c r="C92" s="50"/>
      <c r="D92" s="50"/>
      <c r="E92" s="50"/>
      <c r="F92" s="51"/>
      <c r="G92" s="57"/>
      <c r="H92" s="51"/>
      <c r="I92" s="52"/>
      <c r="J92" s="20"/>
      <c r="K92" s="21"/>
      <c r="L92" s="21"/>
      <c r="M92" s="46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59"/>
      <c r="AM92" s="23"/>
      <c r="AN92" s="23"/>
      <c r="AO92" s="24"/>
      <c r="AQ92" s="35"/>
      <c r="AR92" s="35"/>
      <c r="AS92" s="35"/>
      <c r="AT92" s="35"/>
      <c r="AU92" s="35"/>
      <c r="AV92" s="35"/>
      <c r="AW92" s="35"/>
      <c r="AX92" s="35"/>
      <c r="AY92" s="35"/>
      <c r="AZ92" s="54"/>
      <c r="BA92" s="35"/>
      <c r="BD92" s="55"/>
      <c r="BF92" s="89"/>
    </row>
    <row r="93" spans="1:59" s="25" customFormat="1" x14ac:dyDescent="0.3">
      <c r="A93" s="19"/>
      <c r="B93" s="19"/>
      <c r="C93" s="50"/>
      <c r="D93" s="50"/>
      <c r="E93" s="50"/>
      <c r="F93" s="51"/>
      <c r="G93" s="57"/>
      <c r="H93" s="51"/>
      <c r="I93" s="52"/>
      <c r="J93" s="20"/>
      <c r="K93" s="21"/>
      <c r="L93" s="21"/>
      <c r="M93" s="46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59"/>
      <c r="AM93" s="23"/>
      <c r="AN93" s="23"/>
      <c r="AO93" s="24"/>
      <c r="AQ93" s="35"/>
      <c r="AR93" s="35"/>
      <c r="AS93" s="35"/>
      <c r="AT93" s="35"/>
      <c r="AU93" s="35"/>
      <c r="AV93" s="35"/>
      <c r="AW93" s="35"/>
      <c r="AX93" s="35"/>
      <c r="AY93" s="35"/>
      <c r="BA93" s="35"/>
      <c r="BD93" s="55"/>
      <c r="BF93" s="89"/>
    </row>
    <row r="94" spans="1:59" s="25" customFormat="1" x14ac:dyDescent="0.3">
      <c r="A94" s="19"/>
      <c r="B94" s="19"/>
      <c r="C94" s="50"/>
      <c r="D94" s="50"/>
      <c r="E94" s="50"/>
      <c r="F94" s="51"/>
      <c r="G94" s="57"/>
      <c r="H94" s="51"/>
      <c r="I94" s="52"/>
      <c r="J94" s="20"/>
      <c r="K94" s="21"/>
      <c r="L94" s="21"/>
      <c r="M94" s="46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59"/>
      <c r="AM94" s="23"/>
      <c r="AN94" s="23"/>
      <c r="AO94" s="24"/>
      <c r="AQ94" s="35"/>
      <c r="AR94" s="35"/>
      <c r="AS94" s="35"/>
      <c r="AT94" s="35"/>
      <c r="AU94" s="35"/>
      <c r="AV94" s="35"/>
      <c r="AW94" s="35"/>
      <c r="AX94" s="35"/>
      <c r="AY94" s="35"/>
      <c r="BA94" s="35"/>
      <c r="BD94" s="55"/>
      <c r="BF94" s="89"/>
    </row>
    <row r="95" spans="1:59" s="25" customFormat="1" x14ac:dyDescent="0.3">
      <c r="A95" s="19"/>
      <c r="B95" s="19"/>
      <c r="C95" s="50"/>
      <c r="D95" s="50"/>
      <c r="E95" s="50"/>
      <c r="F95" s="51"/>
      <c r="G95" s="57"/>
      <c r="H95" s="51"/>
      <c r="I95" s="52"/>
      <c r="J95" s="20"/>
      <c r="K95" s="21"/>
      <c r="L95" s="21"/>
      <c r="M95" s="46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59"/>
      <c r="AM95" s="23"/>
      <c r="AN95" s="23"/>
      <c r="AO95" s="24"/>
      <c r="AQ95" s="35"/>
      <c r="AR95" s="35"/>
      <c r="AS95" s="35"/>
      <c r="AT95" s="35"/>
      <c r="AU95" s="35"/>
      <c r="AV95" s="35"/>
      <c r="AW95" s="35"/>
      <c r="AX95" s="35"/>
      <c r="AY95" s="35"/>
      <c r="BA95" s="35"/>
      <c r="BD95" s="55"/>
      <c r="BF95" s="89"/>
    </row>
    <row r="96" spans="1:59" s="25" customFormat="1" x14ac:dyDescent="0.3">
      <c r="A96" s="19"/>
      <c r="B96" s="19"/>
      <c r="C96" s="50"/>
      <c r="D96" s="50"/>
      <c r="E96" s="50"/>
      <c r="F96" s="51"/>
      <c r="G96" s="57"/>
      <c r="H96" s="51"/>
      <c r="I96" s="52"/>
      <c r="J96" s="20"/>
      <c r="K96" s="21"/>
      <c r="L96" s="21"/>
      <c r="M96" s="46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59"/>
      <c r="AM96" s="23"/>
      <c r="AN96" s="23"/>
      <c r="AO96" s="24"/>
      <c r="AQ96" s="35"/>
      <c r="AR96" s="35"/>
      <c r="AS96" s="35"/>
      <c r="AT96" s="35"/>
      <c r="AU96" s="35"/>
      <c r="AV96" s="35"/>
      <c r="AW96" s="35"/>
      <c r="AX96" s="35"/>
      <c r="AY96" s="35"/>
      <c r="BA96" s="35"/>
      <c r="BD96" s="55"/>
      <c r="BF96" s="89"/>
    </row>
    <row r="97" spans="1:59" s="25" customFormat="1" x14ac:dyDescent="0.3">
      <c r="A97" s="19"/>
      <c r="B97" s="19"/>
      <c r="C97" s="50"/>
      <c r="D97" s="50"/>
      <c r="E97" s="50"/>
      <c r="F97" s="51"/>
      <c r="G97" s="57"/>
      <c r="H97" s="51"/>
      <c r="I97" s="52"/>
      <c r="J97" s="20"/>
      <c r="K97" s="21"/>
      <c r="L97" s="21"/>
      <c r="M97" s="46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59"/>
      <c r="AM97" s="23"/>
      <c r="AN97" s="23"/>
      <c r="AO97" s="24"/>
      <c r="AQ97" s="35"/>
      <c r="AR97" s="35"/>
      <c r="AS97" s="35"/>
      <c r="AT97" s="35"/>
      <c r="AU97" s="35"/>
      <c r="AV97" s="35"/>
      <c r="AW97" s="35"/>
      <c r="AX97" s="35"/>
      <c r="AY97" s="35"/>
      <c r="BA97" s="35"/>
      <c r="BD97" s="55"/>
      <c r="BF97" s="89"/>
    </row>
    <row r="98" spans="1:59" s="54" customFormat="1" x14ac:dyDescent="0.3">
      <c r="A98" s="19"/>
      <c r="B98" s="19"/>
      <c r="C98" s="50"/>
      <c r="D98" s="50"/>
      <c r="E98" s="50"/>
      <c r="F98" s="51"/>
      <c r="G98" s="57"/>
      <c r="H98" s="51"/>
      <c r="I98" s="52"/>
      <c r="J98" s="20"/>
      <c r="K98" s="21"/>
      <c r="L98" s="21"/>
      <c r="M98" s="46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59"/>
      <c r="AM98" s="23"/>
      <c r="AN98" s="23"/>
      <c r="AO98" s="24"/>
      <c r="AP98" s="25"/>
      <c r="AQ98" s="35"/>
      <c r="AR98" s="35"/>
      <c r="AS98" s="35"/>
      <c r="AT98" s="35"/>
      <c r="AU98" s="35"/>
      <c r="AV98" s="35"/>
      <c r="AW98" s="35"/>
      <c r="AX98" s="35"/>
      <c r="AY98" s="35"/>
      <c r="AZ98" s="25"/>
      <c r="BA98" s="35"/>
      <c r="BB98" s="25"/>
      <c r="BC98" s="25"/>
      <c r="BD98" s="55"/>
      <c r="BE98" s="25"/>
      <c r="BF98" s="89"/>
      <c r="BG98" s="25"/>
    </row>
    <row r="99" spans="1:59" s="25" customFormat="1" x14ac:dyDescent="0.3">
      <c r="A99" s="19"/>
      <c r="B99" s="19"/>
      <c r="C99" s="50"/>
      <c r="D99" s="50"/>
      <c r="E99" s="50"/>
      <c r="F99" s="51"/>
      <c r="G99" s="57"/>
      <c r="H99" s="51"/>
      <c r="I99" s="52"/>
      <c r="J99" s="20"/>
      <c r="K99" s="21"/>
      <c r="L99" s="21"/>
      <c r="M99" s="46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59"/>
      <c r="AM99" s="23"/>
      <c r="AN99" s="23"/>
      <c r="AO99" s="24"/>
      <c r="AQ99" s="35"/>
      <c r="AR99" s="35"/>
      <c r="AS99" s="35"/>
      <c r="AT99" s="35"/>
      <c r="AU99" s="35"/>
      <c r="AV99" s="35"/>
      <c r="AW99" s="35"/>
      <c r="AX99" s="35"/>
      <c r="AY99" s="35"/>
      <c r="BA99" s="35"/>
      <c r="BD99" s="55"/>
      <c r="BF99" s="89"/>
    </row>
    <row r="100" spans="1:59" s="25" customFormat="1" x14ac:dyDescent="0.3">
      <c r="A100" s="19"/>
      <c r="B100" s="19"/>
      <c r="C100" s="50"/>
      <c r="D100" s="50"/>
      <c r="E100" s="50"/>
      <c r="F100" s="51"/>
      <c r="G100" s="57"/>
      <c r="H100" s="51"/>
      <c r="I100" s="52"/>
      <c r="J100" s="20"/>
      <c r="K100" s="21"/>
      <c r="L100" s="21"/>
      <c r="M100" s="46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59"/>
      <c r="AM100" s="23"/>
      <c r="AN100" s="23"/>
      <c r="AO100" s="24"/>
      <c r="AQ100" s="35"/>
      <c r="AR100" s="35"/>
      <c r="AS100" s="35"/>
      <c r="AT100" s="35"/>
      <c r="AU100" s="35"/>
      <c r="AV100" s="35"/>
      <c r="AW100" s="35"/>
      <c r="AX100" s="35"/>
      <c r="AY100" s="35"/>
      <c r="BA100" s="35"/>
      <c r="BD100" s="55"/>
      <c r="BF100" s="89"/>
    </row>
    <row r="101" spans="1:59" s="54" customFormat="1" x14ac:dyDescent="0.3">
      <c r="A101" s="19"/>
      <c r="B101" s="19"/>
      <c r="C101" s="50"/>
      <c r="D101" s="50"/>
      <c r="E101" s="50"/>
      <c r="F101" s="51"/>
      <c r="G101" s="57"/>
      <c r="H101" s="51"/>
      <c r="I101" s="52"/>
      <c r="J101" s="20"/>
      <c r="K101" s="21"/>
      <c r="L101" s="21"/>
      <c r="M101" s="46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59"/>
      <c r="AM101" s="23"/>
      <c r="AN101" s="23"/>
      <c r="AO101" s="24"/>
      <c r="AP101" s="25"/>
      <c r="AQ101" s="35"/>
      <c r="AR101" s="35"/>
      <c r="AS101" s="35"/>
      <c r="AT101" s="35"/>
      <c r="AU101" s="35"/>
      <c r="AV101" s="35"/>
      <c r="AW101" s="35"/>
      <c r="AX101" s="35"/>
      <c r="AY101" s="35"/>
      <c r="AZ101" s="25"/>
      <c r="BA101" s="35"/>
      <c r="BB101" s="25"/>
      <c r="BC101" s="25"/>
      <c r="BD101" s="55"/>
      <c r="BE101" s="25"/>
      <c r="BF101" s="89"/>
      <c r="BG101" s="25"/>
    </row>
    <row r="102" spans="1:59" s="25" customFormat="1" x14ac:dyDescent="0.3">
      <c r="A102" s="19"/>
      <c r="B102" s="19"/>
      <c r="C102" s="50"/>
      <c r="D102" s="50"/>
      <c r="E102" s="50"/>
      <c r="F102" s="51"/>
      <c r="G102" s="57"/>
      <c r="H102" s="51"/>
      <c r="I102" s="52"/>
      <c r="J102" s="20"/>
      <c r="K102" s="21"/>
      <c r="L102" s="21"/>
      <c r="M102" s="46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59"/>
      <c r="AM102" s="23"/>
      <c r="AN102" s="23"/>
      <c r="AO102" s="24"/>
      <c r="AQ102" s="35"/>
      <c r="AR102" s="35"/>
      <c r="AS102" s="35"/>
      <c r="AT102" s="35"/>
      <c r="AU102" s="35"/>
      <c r="AV102" s="35"/>
      <c r="AW102" s="35"/>
      <c r="AX102" s="35"/>
      <c r="AY102" s="35"/>
      <c r="BA102" s="35"/>
      <c r="BD102" s="55"/>
      <c r="BF102" s="89"/>
    </row>
    <row r="103" spans="1:59" s="25" customFormat="1" x14ac:dyDescent="0.3">
      <c r="A103" s="19"/>
      <c r="B103" s="19"/>
      <c r="C103" s="50"/>
      <c r="D103" s="50"/>
      <c r="E103" s="50"/>
      <c r="F103" s="51"/>
      <c r="G103" s="57"/>
      <c r="H103" s="51"/>
      <c r="I103" s="52"/>
      <c r="J103" s="20"/>
      <c r="K103" s="21"/>
      <c r="L103" s="21"/>
      <c r="M103" s="46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59"/>
      <c r="AM103" s="23"/>
      <c r="AN103" s="23"/>
      <c r="AO103" s="24"/>
      <c r="AQ103" s="35"/>
      <c r="AR103" s="35"/>
      <c r="AS103" s="35"/>
      <c r="AT103" s="35"/>
      <c r="AU103" s="35"/>
      <c r="AV103" s="35"/>
      <c r="AW103" s="35"/>
      <c r="AX103" s="35"/>
      <c r="AY103" s="35"/>
      <c r="BA103" s="35"/>
      <c r="BD103" s="55"/>
      <c r="BF103" s="89"/>
    </row>
    <row r="104" spans="1:59" s="25" customFormat="1" x14ac:dyDescent="0.3">
      <c r="A104" s="19"/>
      <c r="B104" s="19"/>
      <c r="C104" s="50"/>
      <c r="D104" s="50"/>
      <c r="E104" s="50"/>
      <c r="F104" s="51"/>
      <c r="G104" s="57"/>
      <c r="H104" s="51"/>
      <c r="I104" s="52"/>
      <c r="J104" s="20"/>
      <c r="K104" s="21"/>
      <c r="L104" s="21"/>
      <c r="M104" s="46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59"/>
      <c r="AM104" s="23"/>
      <c r="AN104" s="23"/>
      <c r="AO104" s="24"/>
      <c r="AQ104" s="35"/>
      <c r="AR104" s="35"/>
      <c r="AS104" s="35"/>
      <c r="AT104" s="35"/>
      <c r="AU104" s="35"/>
      <c r="AV104" s="35"/>
      <c r="AW104" s="35"/>
      <c r="AX104" s="35"/>
      <c r="AY104" s="35"/>
      <c r="BA104" s="35"/>
      <c r="BD104" s="55"/>
      <c r="BF104" s="89"/>
    </row>
    <row r="105" spans="1:59" s="54" customFormat="1" x14ac:dyDescent="0.3">
      <c r="A105" s="19"/>
      <c r="B105" s="19"/>
      <c r="C105" s="50"/>
      <c r="D105" s="50"/>
      <c r="E105" s="50"/>
      <c r="F105" s="51"/>
      <c r="G105" s="57"/>
      <c r="H105" s="51"/>
      <c r="I105" s="52"/>
      <c r="J105" s="20"/>
      <c r="K105" s="21"/>
      <c r="L105" s="21"/>
      <c r="M105" s="46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59"/>
      <c r="AM105" s="23"/>
      <c r="AN105" s="23"/>
      <c r="AO105" s="24"/>
      <c r="AP105" s="25"/>
      <c r="AQ105" s="35"/>
      <c r="AR105" s="35"/>
      <c r="AS105" s="35"/>
      <c r="AT105" s="35"/>
      <c r="AU105" s="35"/>
      <c r="AV105" s="35"/>
      <c r="AW105" s="35"/>
      <c r="AX105" s="35"/>
      <c r="AY105" s="35"/>
      <c r="AZ105" s="25"/>
      <c r="BA105" s="35"/>
      <c r="BB105" s="25"/>
      <c r="BC105" s="25"/>
      <c r="BD105" s="55"/>
      <c r="BE105" s="25"/>
      <c r="BF105" s="89"/>
      <c r="BG105" s="25"/>
    </row>
    <row r="106" spans="1:59" s="25" customFormat="1" x14ac:dyDescent="0.3">
      <c r="A106" s="19"/>
      <c r="B106" s="19"/>
      <c r="C106" s="50"/>
      <c r="D106" s="50"/>
      <c r="E106" s="50"/>
      <c r="F106" s="51"/>
      <c r="G106" s="57"/>
      <c r="H106" s="51"/>
      <c r="I106" s="52"/>
      <c r="J106" s="20"/>
      <c r="K106" s="21"/>
      <c r="L106" s="21"/>
      <c r="M106" s="46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59"/>
      <c r="AM106" s="23"/>
      <c r="AN106" s="23"/>
      <c r="AO106" s="24"/>
      <c r="AQ106" s="35"/>
      <c r="AR106" s="35"/>
      <c r="AS106" s="35"/>
      <c r="AT106" s="35"/>
      <c r="AU106" s="35"/>
      <c r="AV106" s="35"/>
      <c r="AW106" s="35"/>
      <c r="AX106" s="35"/>
      <c r="AY106" s="35"/>
      <c r="BA106" s="35"/>
      <c r="BD106" s="55"/>
      <c r="BF106" s="89"/>
    </row>
    <row r="107" spans="1:59" s="25" customFormat="1" x14ac:dyDescent="0.3">
      <c r="A107" s="19"/>
      <c r="B107" s="19"/>
      <c r="C107" s="50"/>
      <c r="D107" s="50"/>
      <c r="E107" s="50"/>
      <c r="F107" s="51"/>
      <c r="G107" s="57"/>
      <c r="H107" s="51"/>
      <c r="I107" s="52"/>
      <c r="J107" s="20"/>
      <c r="K107" s="21"/>
      <c r="L107" s="21"/>
      <c r="M107" s="46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59"/>
      <c r="AM107" s="23"/>
      <c r="AN107" s="23"/>
      <c r="AO107" s="24"/>
      <c r="AQ107" s="35"/>
      <c r="AR107" s="35"/>
      <c r="AS107" s="35"/>
      <c r="AT107" s="35"/>
      <c r="AU107" s="35"/>
      <c r="AV107" s="35"/>
      <c r="AW107" s="35"/>
      <c r="AX107" s="35"/>
      <c r="AY107" s="35"/>
      <c r="BA107" s="35"/>
      <c r="BD107" s="55"/>
      <c r="BF107" s="89"/>
    </row>
    <row r="108" spans="1:59" s="25" customFormat="1" x14ac:dyDescent="0.3">
      <c r="A108" s="19"/>
      <c r="B108" s="19"/>
      <c r="C108" s="50"/>
      <c r="D108" s="50"/>
      <c r="E108" s="50"/>
      <c r="F108" s="51"/>
      <c r="G108" s="57"/>
      <c r="H108" s="51"/>
      <c r="I108" s="52"/>
      <c r="J108" s="20"/>
      <c r="K108" s="21"/>
      <c r="L108" s="21"/>
      <c r="M108" s="46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59"/>
      <c r="AM108" s="23"/>
      <c r="AN108" s="23"/>
      <c r="AO108" s="24"/>
      <c r="AQ108" s="35"/>
      <c r="AR108" s="35"/>
      <c r="AS108" s="35"/>
      <c r="AT108" s="35"/>
      <c r="AU108" s="35"/>
      <c r="AV108" s="35"/>
      <c r="AW108" s="35"/>
      <c r="AX108" s="35"/>
      <c r="AY108" s="35"/>
      <c r="BA108" s="35"/>
      <c r="BD108" s="55"/>
      <c r="BF108" s="89"/>
    </row>
    <row r="109" spans="1:59" s="25" customFormat="1" x14ac:dyDescent="0.3">
      <c r="A109" s="19"/>
      <c r="B109" s="19"/>
      <c r="C109" s="50"/>
      <c r="D109" s="50"/>
      <c r="E109" s="50"/>
      <c r="F109" s="51"/>
      <c r="G109" s="57"/>
      <c r="H109" s="51"/>
      <c r="I109" s="52"/>
      <c r="J109" s="20"/>
      <c r="K109" s="21"/>
      <c r="L109" s="21"/>
      <c r="M109" s="46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59"/>
      <c r="AM109" s="23"/>
      <c r="AN109" s="23"/>
      <c r="AO109" s="24"/>
      <c r="AQ109" s="35"/>
      <c r="AR109" s="35"/>
      <c r="AS109" s="35"/>
      <c r="AT109" s="35"/>
      <c r="AU109" s="35"/>
      <c r="AV109" s="35"/>
      <c r="AW109" s="35"/>
      <c r="AX109" s="35"/>
      <c r="AY109" s="35"/>
      <c r="BA109" s="35"/>
      <c r="BD109" s="55"/>
      <c r="BF109" s="89"/>
    </row>
    <row r="110" spans="1:59" s="25" customFormat="1" x14ac:dyDescent="0.3">
      <c r="A110" s="19"/>
      <c r="B110" s="19"/>
      <c r="C110" s="50"/>
      <c r="D110" s="50"/>
      <c r="E110" s="50"/>
      <c r="F110" s="51"/>
      <c r="G110" s="57"/>
      <c r="H110" s="51"/>
      <c r="I110" s="52"/>
      <c r="J110" s="20"/>
      <c r="K110" s="21"/>
      <c r="L110" s="21"/>
      <c r="M110" s="46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59"/>
      <c r="AM110" s="23"/>
      <c r="AN110" s="23"/>
      <c r="AO110" s="24"/>
      <c r="AQ110" s="35"/>
      <c r="AR110" s="35"/>
      <c r="AS110" s="35"/>
      <c r="AT110" s="35"/>
      <c r="AU110" s="35"/>
      <c r="AV110" s="35"/>
      <c r="AW110" s="35"/>
      <c r="AX110" s="35"/>
      <c r="AY110" s="35"/>
      <c r="BA110" s="35"/>
      <c r="BD110" s="55"/>
      <c r="BF110" s="89"/>
    </row>
    <row r="111" spans="1:59" s="25" customFormat="1" x14ac:dyDescent="0.3">
      <c r="A111" s="19"/>
      <c r="B111" s="19"/>
      <c r="C111" s="50"/>
      <c r="D111" s="50"/>
      <c r="E111" s="50"/>
      <c r="F111" s="51"/>
      <c r="G111" s="57"/>
      <c r="H111" s="51"/>
      <c r="I111" s="52"/>
      <c r="J111" s="20"/>
      <c r="K111" s="21"/>
      <c r="L111" s="21"/>
      <c r="M111" s="46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59"/>
      <c r="AM111" s="23"/>
      <c r="AN111" s="23"/>
      <c r="AO111" s="24"/>
      <c r="AQ111" s="35"/>
      <c r="AR111" s="35"/>
      <c r="AS111" s="35"/>
      <c r="AT111" s="35"/>
      <c r="AU111" s="35"/>
      <c r="AV111" s="35"/>
      <c r="AW111" s="35"/>
      <c r="AX111" s="35"/>
      <c r="AY111" s="35"/>
      <c r="BA111" s="35"/>
      <c r="BD111" s="55"/>
      <c r="BF111" s="89"/>
    </row>
    <row r="112" spans="1:59" s="25" customFormat="1" x14ac:dyDescent="0.3">
      <c r="A112" s="19"/>
      <c r="B112" s="19"/>
      <c r="C112" s="50"/>
      <c r="D112" s="50"/>
      <c r="E112" s="50"/>
      <c r="F112" s="51"/>
      <c r="G112" s="57"/>
      <c r="H112" s="51"/>
      <c r="I112" s="52"/>
      <c r="J112" s="20"/>
      <c r="K112" s="21"/>
      <c r="L112" s="21"/>
      <c r="M112" s="46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59"/>
      <c r="AM112" s="23"/>
      <c r="AN112" s="23"/>
      <c r="AO112" s="24"/>
      <c r="AQ112" s="35"/>
      <c r="AR112" s="35"/>
      <c r="AS112" s="35"/>
      <c r="AT112" s="35"/>
      <c r="AU112" s="35"/>
      <c r="AV112" s="35"/>
      <c r="AW112" s="35"/>
      <c r="AX112" s="35"/>
      <c r="AY112" s="35"/>
      <c r="BA112" s="35"/>
      <c r="BD112" s="55"/>
      <c r="BF112" s="89"/>
    </row>
    <row r="113" spans="1:59" s="54" customFormat="1" x14ac:dyDescent="0.3">
      <c r="A113" s="19"/>
      <c r="B113" s="19"/>
      <c r="C113" s="50"/>
      <c r="D113" s="50"/>
      <c r="E113" s="50"/>
      <c r="F113" s="51"/>
      <c r="G113" s="57"/>
      <c r="H113" s="51"/>
      <c r="I113" s="52"/>
      <c r="J113" s="20"/>
      <c r="K113" s="21"/>
      <c r="L113" s="21"/>
      <c r="M113" s="46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59"/>
      <c r="AM113" s="23"/>
      <c r="AN113" s="23"/>
      <c r="AO113" s="24"/>
      <c r="AP113" s="25"/>
      <c r="AQ113" s="35"/>
      <c r="AR113" s="35"/>
      <c r="AS113" s="35"/>
      <c r="AT113" s="35"/>
      <c r="AU113" s="35"/>
      <c r="AV113" s="35"/>
      <c r="AW113" s="35"/>
      <c r="AX113" s="35"/>
      <c r="AY113" s="35"/>
      <c r="AZ113" s="25"/>
      <c r="BA113" s="35"/>
      <c r="BB113" s="25"/>
      <c r="BC113" s="25"/>
      <c r="BD113" s="55"/>
      <c r="BE113" s="25"/>
      <c r="BF113" s="89"/>
      <c r="BG113" s="25"/>
    </row>
    <row r="114" spans="1:59" s="25" customFormat="1" x14ac:dyDescent="0.3">
      <c r="A114" s="19"/>
      <c r="B114" s="19"/>
      <c r="C114" s="50"/>
      <c r="D114" s="50"/>
      <c r="E114" s="50"/>
      <c r="F114" s="51"/>
      <c r="G114" s="57"/>
      <c r="H114" s="51"/>
      <c r="I114" s="52"/>
      <c r="J114" s="20"/>
      <c r="K114" s="21"/>
      <c r="L114" s="21"/>
      <c r="M114" s="46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59"/>
      <c r="AM114" s="23"/>
      <c r="AN114" s="23"/>
      <c r="AO114" s="24"/>
      <c r="AQ114" s="35"/>
      <c r="AR114" s="35"/>
      <c r="AS114" s="35"/>
      <c r="AT114" s="35"/>
      <c r="AU114" s="35"/>
      <c r="AV114" s="35"/>
      <c r="AW114" s="35"/>
      <c r="AX114" s="35"/>
      <c r="AY114" s="35"/>
      <c r="BA114" s="35"/>
      <c r="BD114" s="55"/>
      <c r="BF114" s="89"/>
    </row>
    <row r="115" spans="1:59" s="54" customFormat="1" x14ac:dyDescent="0.3">
      <c r="A115" s="19"/>
      <c r="B115" s="19"/>
      <c r="C115" s="50"/>
      <c r="D115" s="50"/>
      <c r="E115" s="50"/>
      <c r="F115" s="51"/>
      <c r="G115" s="57"/>
      <c r="H115" s="51"/>
      <c r="I115" s="52"/>
      <c r="J115" s="20"/>
      <c r="K115" s="21"/>
      <c r="L115" s="21"/>
      <c r="M115" s="46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59"/>
      <c r="AM115" s="23"/>
      <c r="AN115" s="23"/>
      <c r="AO115" s="24"/>
      <c r="AP115" s="25"/>
      <c r="AQ115" s="35"/>
      <c r="AR115" s="35"/>
      <c r="AS115" s="35"/>
      <c r="AT115" s="35"/>
      <c r="AU115" s="35"/>
      <c r="AV115" s="35"/>
      <c r="AW115" s="35"/>
      <c r="AX115" s="35"/>
      <c r="AY115" s="35"/>
      <c r="AZ115" s="25"/>
      <c r="BA115" s="35"/>
      <c r="BB115" s="25"/>
      <c r="BC115" s="25"/>
      <c r="BD115" s="55"/>
      <c r="BE115" s="25"/>
      <c r="BF115" s="89"/>
      <c r="BG115" s="25"/>
    </row>
    <row r="116" spans="1:59" s="25" customFormat="1" x14ac:dyDescent="0.3">
      <c r="A116" s="19"/>
      <c r="B116" s="19"/>
      <c r="C116" s="50"/>
      <c r="D116" s="50"/>
      <c r="E116" s="50"/>
      <c r="F116" s="51"/>
      <c r="G116" s="57"/>
      <c r="H116" s="51"/>
      <c r="I116" s="52"/>
      <c r="J116" s="20"/>
      <c r="K116" s="21"/>
      <c r="L116" s="21"/>
      <c r="M116" s="46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59"/>
      <c r="AM116" s="23"/>
      <c r="AN116" s="23"/>
      <c r="AO116" s="24"/>
      <c r="AQ116" s="35"/>
      <c r="AR116" s="35"/>
      <c r="AS116" s="35"/>
      <c r="AT116" s="35"/>
      <c r="AU116" s="35"/>
      <c r="AV116" s="35"/>
      <c r="AW116" s="35"/>
      <c r="AX116" s="35"/>
      <c r="AY116" s="35"/>
      <c r="BA116" s="35"/>
      <c r="BD116" s="55"/>
      <c r="BF116" s="89"/>
    </row>
    <row r="117" spans="1:59" s="25" customFormat="1" x14ac:dyDescent="0.3">
      <c r="A117" s="19"/>
      <c r="B117" s="19"/>
      <c r="C117" s="50"/>
      <c r="D117" s="50"/>
      <c r="E117" s="50"/>
      <c r="F117" s="51"/>
      <c r="G117" s="57"/>
      <c r="H117" s="51"/>
      <c r="I117" s="52"/>
      <c r="J117" s="20"/>
      <c r="K117" s="21"/>
      <c r="L117" s="21"/>
      <c r="M117" s="46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59"/>
      <c r="AM117" s="23"/>
      <c r="AN117" s="23"/>
      <c r="AO117" s="24"/>
      <c r="AQ117" s="35"/>
      <c r="AR117" s="35"/>
      <c r="AS117" s="35"/>
      <c r="AT117" s="35"/>
      <c r="AU117" s="35"/>
      <c r="AV117" s="35"/>
      <c r="AW117" s="35"/>
      <c r="AX117" s="35"/>
      <c r="AY117" s="35"/>
      <c r="BA117" s="35"/>
      <c r="BD117" s="55"/>
      <c r="BF117" s="89"/>
    </row>
    <row r="118" spans="1:59" s="25" customFormat="1" x14ac:dyDescent="0.3">
      <c r="A118" s="19"/>
      <c r="B118" s="19"/>
      <c r="C118" s="50"/>
      <c r="D118" s="50"/>
      <c r="E118" s="50"/>
      <c r="F118" s="51"/>
      <c r="G118" s="57"/>
      <c r="H118" s="51"/>
      <c r="I118" s="52"/>
      <c r="J118" s="20"/>
      <c r="K118" s="21"/>
      <c r="L118" s="21"/>
      <c r="M118" s="46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59"/>
      <c r="AM118" s="23"/>
      <c r="AN118" s="23"/>
      <c r="AO118" s="24"/>
      <c r="AQ118" s="35"/>
      <c r="AR118" s="35"/>
      <c r="AS118" s="35"/>
      <c r="AT118" s="35"/>
      <c r="AU118" s="35"/>
      <c r="AV118" s="35"/>
      <c r="AW118" s="35"/>
      <c r="AX118" s="35"/>
      <c r="AY118" s="35"/>
      <c r="BA118" s="35"/>
      <c r="BD118" s="55"/>
      <c r="BF118" s="89"/>
    </row>
    <row r="119" spans="1:59" s="25" customFormat="1" x14ac:dyDescent="0.3">
      <c r="A119" s="19"/>
      <c r="B119" s="19"/>
      <c r="C119" s="50"/>
      <c r="D119" s="50"/>
      <c r="E119" s="50"/>
      <c r="F119" s="51"/>
      <c r="G119" s="57"/>
      <c r="H119" s="51"/>
      <c r="I119" s="52"/>
      <c r="J119" s="20"/>
      <c r="K119" s="21"/>
      <c r="L119" s="21"/>
      <c r="M119" s="46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59"/>
      <c r="AM119" s="23"/>
      <c r="AN119" s="23"/>
      <c r="AO119" s="24"/>
      <c r="AQ119" s="35"/>
      <c r="AR119" s="35"/>
      <c r="AS119" s="35"/>
      <c r="AT119" s="35"/>
      <c r="AU119" s="35"/>
      <c r="AV119" s="35"/>
      <c r="AW119" s="35"/>
      <c r="AX119" s="35"/>
      <c r="AY119" s="35"/>
      <c r="BA119" s="35"/>
      <c r="BD119" s="55"/>
      <c r="BF119" s="89"/>
    </row>
    <row r="120" spans="1:59" s="25" customFormat="1" x14ac:dyDescent="0.3">
      <c r="A120" s="19"/>
      <c r="B120" s="19"/>
      <c r="C120" s="50"/>
      <c r="D120" s="50"/>
      <c r="E120" s="50"/>
      <c r="F120" s="51"/>
      <c r="G120" s="57"/>
      <c r="H120" s="51"/>
      <c r="I120" s="52"/>
      <c r="J120" s="20"/>
      <c r="K120" s="21"/>
      <c r="L120" s="21"/>
      <c r="M120" s="46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59"/>
      <c r="AM120" s="23"/>
      <c r="AN120" s="23"/>
      <c r="AO120" s="24"/>
      <c r="AQ120" s="35"/>
      <c r="AR120" s="35"/>
      <c r="AS120" s="35"/>
      <c r="AT120" s="35"/>
      <c r="AU120" s="35"/>
      <c r="AV120" s="35"/>
      <c r="AW120" s="35"/>
      <c r="AX120" s="35"/>
      <c r="AY120" s="35"/>
      <c r="BA120" s="35"/>
      <c r="BD120" s="55"/>
      <c r="BF120" s="89"/>
    </row>
    <row r="121" spans="1:59" s="25" customFormat="1" x14ac:dyDescent="0.3">
      <c r="A121" s="19"/>
      <c r="B121" s="19"/>
      <c r="C121" s="50"/>
      <c r="D121" s="50"/>
      <c r="E121" s="50"/>
      <c r="F121" s="51"/>
      <c r="G121" s="57"/>
      <c r="H121" s="51"/>
      <c r="I121" s="52"/>
      <c r="J121" s="20"/>
      <c r="K121" s="21"/>
      <c r="L121" s="21"/>
      <c r="M121" s="46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59"/>
      <c r="AM121" s="23"/>
      <c r="AN121" s="23"/>
      <c r="AO121" s="24"/>
      <c r="AQ121" s="35"/>
      <c r="AR121" s="35"/>
      <c r="AS121" s="35"/>
      <c r="AT121" s="35"/>
      <c r="AU121" s="35"/>
      <c r="AV121" s="35"/>
      <c r="AW121" s="35"/>
      <c r="AX121" s="35"/>
      <c r="AY121" s="35"/>
      <c r="BA121" s="35"/>
      <c r="BD121" s="55"/>
      <c r="BF121" s="89"/>
    </row>
    <row r="122" spans="1:59" s="25" customFormat="1" x14ac:dyDescent="0.3">
      <c r="A122" s="19"/>
      <c r="B122" s="19"/>
      <c r="C122" s="50"/>
      <c r="D122" s="50"/>
      <c r="E122" s="50"/>
      <c r="F122" s="51"/>
      <c r="G122" s="57"/>
      <c r="H122" s="51"/>
      <c r="I122" s="52"/>
      <c r="J122" s="20"/>
      <c r="K122" s="21"/>
      <c r="L122" s="21"/>
      <c r="M122" s="46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59"/>
      <c r="AM122" s="23"/>
      <c r="AN122" s="23"/>
      <c r="AO122" s="24"/>
      <c r="AQ122" s="35"/>
      <c r="AR122" s="35"/>
      <c r="AS122" s="35"/>
      <c r="AT122" s="35"/>
      <c r="AU122" s="35"/>
      <c r="AV122" s="35"/>
      <c r="AW122" s="35"/>
      <c r="AX122" s="35"/>
      <c r="AY122" s="35"/>
      <c r="BA122" s="35"/>
      <c r="BD122" s="55"/>
      <c r="BF122" s="89"/>
    </row>
    <row r="123" spans="1:59" s="25" customFormat="1" x14ac:dyDescent="0.3">
      <c r="A123" s="19"/>
      <c r="B123" s="19"/>
      <c r="C123" s="50"/>
      <c r="D123" s="50"/>
      <c r="E123" s="50"/>
      <c r="F123" s="51"/>
      <c r="G123" s="57"/>
      <c r="H123" s="51"/>
      <c r="I123" s="52"/>
      <c r="J123" s="20"/>
      <c r="K123" s="21"/>
      <c r="L123" s="21"/>
      <c r="M123" s="46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59"/>
      <c r="AM123" s="23"/>
      <c r="AN123" s="23"/>
      <c r="AO123" s="24"/>
      <c r="AQ123" s="35"/>
      <c r="AR123" s="35"/>
      <c r="AS123" s="35"/>
      <c r="AT123" s="35"/>
      <c r="AU123" s="35"/>
      <c r="AV123" s="35"/>
      <c r="AW123" s="35"/>
      <c r="AX123" s="35"/>
      <c r="AY123" s="35"/>
      <c r="BA123" s="35"/>
      <c r="BD123" s="55"/>
      <c r="BF123" s="89"/>
    </row>
    <row r="124" spans="1:59" s="25" customFormat="1" x14ac:dyDescent="0.3">
      <c r="A124" s="19"/>
      <c r="B124" s="19"/>
      <c r="C124" s="50"/>
      <c r="D124" s="50"/>
      <c r="E124" s="50"/>
      <c r="F124" s="51"/>
      <c r="G124" s="57"/>
      <c r="H124" s="51"/>
      <c r="I124" s="52"/>
      <c r="J124" s="20"/>
      <c r="K124" s="21"/>
      <c r="L124" s="21"/>
      <c r="M124" s="46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59"/>
      <c r="AM124" s="23"/>
      <c r="AN124" s="23"/>
      <c r="AO124" s="24"/>
      <c r="AQ124" s="35"/>
      <c r="AR124" s="35"/>
      <c r="AS124" s="35"/>
      <c r="AT124" s="35"/>
      <c r="AU124" s="35"/>
      <c r="AV124" s="35"/>
      <c r="AW124" s="35"/>
      <c r="AX124" s="35"/>
      <c r="AY124" s="35"/>
      <c r="BA124" s="35"/>
      <c r="BD124" s="55"/>
      <c r="BF124" s="89"/>
    </row>
    <row r="125" spans="1:59" s="25" customFormat="1" x14ac:dyDescent="0.3">
      <c r="A125" s="19"/>
      <c r="B125" s="19"/>
      <c r="C125" s="50"/>
      <c r="D125" s="50"/>
      <c r="E125" s="50"/>
      <c r="F125" s="51"/>
      <c r="G125" s="57"/>
      <c r="H125" s="51"/>
      <c r="I125" s="52"/>
      <c r="J125" s="20"/>
      <c r="K125" s="21"/>
      <c r="L125" s="21"/>
      <c r="M125" s="46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59"/>
      <c r="AM125" s="23"/>
      <c r="AN125" s="23"/>
      <c r="AO125" s="24"/>
      <c r="AQ125" s="35"/>
      <c r="AR125" s="35"/>
      <c r="AS125" s="35"/>
      <c r="AT125" s="35"/>
      <c r="AU125" s="35"/>
      <c r="AV125" s="35"/>
      <c r="AW125" s="35"/>
      <c r="AX125" s="35"/>
      <c r="AY125" s="35"/>
      <c r="BA125" s="35"/>
      <c r="BD125" s="55"/>
      <c r="BF125" s="89"/>
    </row>
    <row r="126" spans="1:59" s="25" customFormat="1" x14ac:dyDescent="0.3">
      <c r="A126" s="19"/>
      <c r="B126" s="19"/>
      <c r="C126" s="50"/>
      <c r="D126" s="50"/>
      <c r="E126" s="50"/>
      <c r="F126" s="51"/>
      <c r="G126" s="57"/>
      <c r="H126" s="51"/>
      <c r="I126" s="52"/>
      <c r="J126" s="20"/>
      <c r="K126" s="21"/>
      <c r="L126" s="21"/>
      <c r="M126" s="46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59"/>
      <c r="AM126" s="23"/>
      <c r="AN126" s="23"/>
      <c r="AO126" s="24"/>
      <c r="AQ126" s="35"/>
      <c r="AR126" s="35"/>
      <c r="AS126" s="35"/>
      <c r="AT126" s="35"/>
      <c r="AU126" s="35"/>
      <c r="AV126" s="35"/>
      <c r="AW126" s="35"/>
      <c r="AX126" s="35"/>
      <c r="AY126" s="35"/>
      <c r="BA126" s="35"/>
      <c r="BD126" s="55"/>
      <c r="BF126" s="89"/>
    </row>
    <row r="127" spans="1:59" s="25" customFormat="1" x14ac:dyDescent="0.3">
      <c r="A127" s="19"/>
      <c r="B127" s="19"/>
      <c r="C127" s="50"/>
      <c r="D127" s="50"/>
      <c r="E127" s="50"/>
      <c r="F127" s="51"/>
      <c r="G127" s="57"/>
      <c r="H127" s="51"/>
      <c r="I127" s="52"/>
      <c r="J127" s="20"/>
      <c r="K127" s="21"/>
      <c r="L127" s="21"/>
      <c r="M127" s="46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59"/>
      <c r="AM127" s="23"/>
      <c r="AN127" s="23"/>
      <c r="AO127" s="24"/>
      <c r="AQ127" s="35"/>
      <c r="AR127" s="35"/>
      <c r="AS127" s="35"/>
      <c r="AT127" s="35"/>
      <c r="AU127" s="35"/>
      <c r="AV127" s="35"/>
      <c r="AW127" s="35"/>
      <c r="AX127" s="35"/>
      <c r="AY127" s="35"/>
      <c r="BA127" s="35"/>
      <c r="BD127" s="55"/>
      <c r="BF127" s="89"/>
    </row>
    <row r="128" spans="1:59" s="25" customFormat="1" x14ac:dyDescent="0.3">
      <c r="A128" s="19"/>
      <c r="B128" s="19"/>
      <c r="C128" s="50"/>
      <c r="D128" s="50"/>
      <c r="E128" s="50"/>
      <c r="F128" s="51"/>
      <c r="G128" s="57"/>
      <c r="H128" s="51"/>
      <c r="I128" s="52"/>
      <c r="J128" s="20"/>
      <c r="K128" s="21"/>
      <c r="L128" s="21"/>
      <c r="M128" s="46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59"/>
      <c r="AM128" s="23"/>
      <c r="AN128" s="23"/>
      <c r="AO128" s="24"/>
      <c r="AQ128" s="35"/>
      <c r="AR128" s="35"/>
      <c r="AS128" s="35"/>
      <c r="AT128" s="35"/>
      <c r="AU128" s="35"/>
      <c r="AV128" s="35"/>
      <c r="AW128" s="35"/>
      <c r="AX128" s="35"/>
      <c r="AY128" s="35"/>
      <c r="BA128" s="35"/>
      <c r="BD128" s="55"/>
      <c r="BF128" s="89"/>
    </row>
    <row r="129" spans="1:59" s="25" customFormat="1" x14ac:dyDescent="0.3">
      <c r="A129" s="19"/>
      <c r="B129" s="19"/>
      <c r="C129" s="50"/>
      <c r="D129" s="50"/>
      <c r="E129" s="50"/>
      <c r="F129" s="51"/>
      <c r="G129" s="57"/>
      <c r="H129" s="51"/>
      <c r="I129" s="52"/>
      <c r="J129" s="20"/>
      <c r="K129" s="21"/>
      <c r="L129" s="21"/>
      <c r="M129" s="46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59"/>
      <c r="AM129" s="23"/>
      <c r="AN129" s="23"/>
      <c r="AO129" s="24"/>
      <c r="AQ129" s="35"/>
      <c r="AR129" s="35"/>
      <c r="AS129" s="35"/>
      <c r="AT129" s="35"/>
      <c r="AU129" s="35"/>
      <c r="AV129" s="35"/>
      <c r="AW129" s="35"/>
      <c r="AX129" s="35"/>
      <c r="AY129" s="35"/>
      <c r="BA129" s="35"/>
      <c r="BD129" s="55"/>
      <c r="BF129" s="89"/>
    </row>
    <row r="130" spans="1:59" s="25" customFormat="1" x14ac:dyDescent="0.3">
      <c r="A130" s="19"/>
      <c r="B130" s="19"/>
      <c r="C130" s="50"/>
      <c r="D130" s="50"/>
      <c r="E130" s="50"/>
      <c r="F130" s="51"/>
      <c r="G130" s="57"/>
      <c r="H130" s="51"/>
      <c r="I130" s="52"/>
      <c r="J130" s="20"/>
      <c r="K130" s="21"/>
      <c r="L130" s="21"/>
      <c r="M130" s="46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59"/>
      <c r="AM130" s="23"/>
      <c r="AN130" s="23"/>
      <c r="AO130" s="24"/>
      <c r="AQ130" s="35"/>
      <c r="AR130" s="35"/>
      <c r="AS130" s="35"/>
      <c r="AT130" s="35"/>
      <c r="AU130" s="35"/>
      <c r="AV130" s="35"/>
      <c r="AW130" s="35"/>
      <c r="AX130" s="35"/>
      <c r="AY130" s="35"/>
      <c r="BA130" s="35"/>
      <c r="BD130" s="55"/>
      <c r="BF130" s="89"/>
    </row>
    <row r="131" spans="1:59" s="25" customFormat="1" x14ac:dyDescent="0.3">
      <c r="A131" s="19"/>
      <c r="B131" s="19"/>
      <c r="C131" s="50"/>
      <c r="D131" s="50"/>
      <c r="E131" s="50"/>
      <c r="F131" s="51"/>
      <c r="G131" s="57"/>
      <c r="H131" s="51"/>
      <c r="I131" s="52"/>
      <c r="J131" s="20"/>
      <c r="K131" s="21"/>
      <c r="L131" s="21"/>
      <c r="M131" s="46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59"/>
      <c r="AM131" s="23"/>
      <c r="AN131" s="23"/>
      <c r="AO131" s="24"/>
      <c r="AQ131" s="35"/>
      <c r="AR131" s="35"/>
      <c r="AS131" s="35"/>
      <c r="AT131" s="35"/>
      <c r="AU131" s="35"/>
      <c r="AV131" s="35"/>
      <c r="AW131" s="35"/>
      <c r="AX131" s="35"/>
      <c r="AY131" s="35"/>
      <c r="BA131" s="35"/>
      <c r="BD131" s="55"/>
      <c r="BF131" s="89"/>
    </row>
    <row r="132" spans="1:59" s="25" customFormat="1" x14ac:dyDescent="0.3">
      <c r="A132" s="19"/>
      <c r="B132" s="19"/>
      <c r="C132" s="50"/>
      <c r="D132" s="50"/>
      <c r="E132" s="50"/>
      <c r="F132" s="51"/>
      <c r="G132" s="57"/>
      <c r="H132" s="51"/>
      <c r="I132" s="52"/>
      <c r="J132" s="20"/>
      <c r="K132" s="21"/>
      <c r="L132" s="21"/>
      <c r="M132" s="46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59"/>
      <c r="AM132" s="23"/>
      <c r="AN132" s="23"/>
      <c r="AO132" s="24"/>
      <c r="AQ132" s="35"/>
      <c r="AR132" s="35"/>
      <c r="AS132" s="35"/>
      <c r="AT132" s="35"/>
      <c r="AU132" s="35"/>
      <c r="AV132" s="35"/>
      <c r="AW132" s="35"/>
      <c r="AX132" s="35"/>
      <c r="AY132" s="35"/>
      <c r="BA132" s="35"/>
      <c r="BD132" s="55"/>
      <c r="BF132" s="89"/>
    </row>
    <row r="133" spans="1:59" s="25" customFormat="1" x14ac:dyDescent="0.3">
      <c r="A133" s="19"/>
      <c r="B133" s="19"/>
      <c r="C133" s="50"/>
      <c r="D133" s="50"/>
      <c r="E133" s="50"/>
      <c r="F133" s="51"/>
      <c r="G133" s="57"/>
      <c r="H133" s="51"/>
      <c r="I133" s="52"/>
      <c r="J133" s="20"/>
      <c r="K133" s="21"/>
      <c r="L133" s="21"/>
      <c r="M133" s="46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59"/>
      <c r="AM133" s="23"/>
      <c r="AN133" s="23"/>
      <c r="AO133" s="24"/>
      <c r="AQ133" s="35"/>
      <c r="AR133" s="35"/>
      <c r="AS133" s="35"/>
      <c r="AT133" s="35"/>
      <c r="AU133" s="35"/>
      <c r="AV133" s="35"/>
      <c r="AW133" s="35"/>
      <c r="AX133" s="35"/>
      <c r="AY133" s="35"/>
      <c r="BA133" s="35"/>
      <c r="BD133" s="55"/>
      <c r="BF133" s="89"/>
    </row>
    <row r="134" spans="1:59" s="25" customFormat="1" x14ac:dyDescent="0.3">
      <c r="A134" s="19"/>
      <c r="B134" s="19"/>
      <c r="C134" s="50"/>
      <c r="D134" s="50"/>
      <c r="E134" s="50"/>
      <c r="F134" s="51"/>
      <c r="G134" s="57"/>
      <c r="H134" s="51"/>
      <c r="I134" s="52"/>
      <c r="J134" s="20"/>
      <c r="K134" s="21"/>
      <c r="L134" s="21"/>
      <c r="M134" s="46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59"/>
      <c r="AM134" s="23"/>
      <c r="AN134" s="23"/>
      <c r="AO134" s="24"/>
      <c r="AQ134" s="35"/>
      <c r="AR134" s="35"/>
      <c r="AS134" s="35"/>
      <c r="AT134" s="35"/>
      <c r="AU134" s="35"/>
      <c r="AV134" s="35"/>
      <c r="AW134" s="35"/>
      <c r="AX134" s="35"/>
      <c r="AY134" s="35"/>
      <c r="BA134" s="35"/>
      <c r="BD134" s="55"/>
      <c r="BF134" s="89"/>
    </row>
    <row r="135" spans="1:59" s="54" customFormat="1" x14ac:dyDescent="0.3">
      <c r="A135" s="19"/>
      <c r="B135" s="19"/>
      <c r="C135" s="50"/>
      <c r="D135" s="50"/>
      <c r="E135" s="50"/>
      <c r="F135" s="51"/>
      <c r="G135" s="57"/>
      <c r="H135" s="51"/>
      <c r="I135" s="52"/>
      <c r="J135" s="20"/>
      <c r="K135" s="21"/>
      <c r="L135" s="21"/>
      <c r="M135" s="46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59"/>
      <c r="AM135" s="23"/>
      <c r="AN135" s="23"/>
      <c r="AO135" s="24"/>
      <c r="AP135" s="25"/>
      <c r="AQ135" s="35"/>
      <c r="AR135" s="35"/>
      <c r="AS135" s="35"/>
      <c r="AT135" s="35"/>
      <c r="AU135" s="35"/>
      <c r="AV135" s="35"/>
      <c r="AW135" s="35"/>
      <c r="AX135" s="35"/>
      <c r="AY135" s="35"/>
      <c r="AZ135" s="25"/>
      <c r="BA135" s="35"/>
      <c r="BB135" s="25"/>
      <c r="BC135" s="25"/>
      <c r="BD135" s="55"/>
      <c r="BE135" s="25"/>
      <c r="BF135" s="89"/>
      <c r="BG135" s="25"/>
    </row>
    <row r="136" spans="1:59" s="54" customFormat="1" x14ac:dyDescent="0.3">
      <c r="A136" s="19"/>
      <c r="B136" s="19"/>
      <c r="C136" s="50"/>
      <c r="D136" s="50"/>
      <c r="E136" s="50"/>
      <c r="F136" s="51"/>
      <c r="G136" s="57"/>
      <c r="H136" s="51"/>
      <c r="I136" s="52"/>
      <c r="J136" s="20"/>
      <c r="K136" s="21"/>
      <c r="L136" s="21"/>
      <c r="M136" s="46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59"/>
      <c r="AM136" s="23"/>
      <c r="AN136" s="23"/>
      <c r="AO136" s="24"/>
      <c r="AP136" s="25"/>
      <c r="AQ136" s="35"/>
      <c r="AR136" s="35"/>
      <c r="AS136" s="35"/>
      <c r="AT136" s="35"/>
      <c r="AU136" s="35"/>
      <c r="AV136" s="35"/>
      <c r="AW136" s="35"/>
      <c r="AX136" s="35"/>
      <c r="AY136" s="35"/>
      <c r="AZ136" s="25"/>
      <c r="BA136" s="35"/>
      <c r="BB136" s="25"/>
      <c r="BC136" s="25"/>
      <c r="BD136" s="55"/>
      <c r="BE136" s="25"/>
      <c r="BF136" s="89"/>
      <c r="BG136" s="25"/>
    </row>
    <row r="137" spans="1:59" s="25" customFormat="1" x14ac:dyDescent="0.3">
      <c r="A137" s="19"/>
      <c r="B137" s="19"/>
      <c r="C137" s="50"/>
      <c r="D137" s="50"/>
      <c r="E137" s="50"/>
      <c r="F137" s="51"/>
      <c r="G137" s="57"/>
      <c r="H137" s="51"/>
      <c r="I137" s="52"/>
      <c r="J137" s="20"/>
      <c r="K137" s="21"/>
      <c r="L137" s="21"/>
      <c r="M137" s="46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59"/>
      <c r="AM137" s="23"/>
      <c r="AN137" s="23"/>
      <c r="AO137" s="24"/>
      <c r="AQ137" s="35"/>
      <c r="AR137" s="35"/>
      <c r="AS137" s="35"/>
      <c r="AT137" s="35"/>
      <c r="AU137" s="35"/>
      <c r="AV137" s="35"/>
      <c r="AW137" s="35"/>
      <c r="AX137" s="35"/>
      <c r="AY137" s="35"/>
      <c r="BA137" s="35"/>
      <c r="BD137" s="55"/>
      <c r="BF137" s="89"/>
    </row>
    <row r="138" spans="1:59" s="54" customFormat="1" x14ac:dyDescent="0.3">
      <c r="A138" s="19"/>
      <c r="B138" s="19"/>
      <c r="C138" s="50"/>
      <c r="D138" s="50"/>
      <c r="E138" s="50"/>
      <c r="F138" s="51"/>
      <c r="G138" s="57"/>
      <c r="H138" s="51"/>
      <c r="I138" s="52"/>
      <c r="J138" s="20"/>
      <c r="K138" s="21"/>
      <c r="L138" s="21"/>
      <c r="M138" s="46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59"/>
      <c r="AM138" s="23"/>
      <c r="AN138" s="23"/>
      <c r="AO138" s="24"/>
      <c r="AP138" s="25"/>
      <c r="AQ138" s="35"/>
      <c r="AR138" s="35"/>
      <c r="AS138" s="35"/>
      <c r="AT138" s="35"/>
      <c r="AU138" s="35"/>
      <c r="AV138" s="35"/>
      <c r="AW138" s="35"/>
      <c r="AX138" s="35"/>
      <c r="AY138" s="35"/>
      <c r="AZ138" s="25"/>
      <c r="BA138" s="35"/>
      <c r="BB138" s="25"/>
      <c r="BC138" s="25"/>
      <c r="BD138" s="55"/>
      <c r="BE138" s="25"/>
      <c r="BF138" s="89"/>
      <c r="BG138" s="25"/>
    </row>
    <row r="139" spans="1:59" s="54" customFormat="1" x14ac:dyDescent="0.3">
      <c r="A139" s="19"/>
      <c r="B139" s="19"/>
      <c r="C139" s="50"/>
      <c r="D139" s="50"/>
      <c r="E139" s="50"/>
      <c r="F139" s="51"/>
      <c r="G139" s="57"/>
      <c r="H139" s="51"/>
      <c r="I139" s="52"/>
      <c r="J139" s="20"/>
      <c r="K139" s="21"/>
      <c r="L139" s="21"/>
      <c r="M139" s="46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59"/>
      <c r="AM139" s="23"/>
      <c r="AN139" s="23"/>
      <c r="AO139" s="24"/>
      <c r="AP139" s="25"/>
      <c r="AQ139" s="35"/>
      <c r="AR139" s="35"/>
      <c r="AS139" s="35"/>
      <c r="AT139" s="35"/>
      <c r="AU139" s="35"/>
      <c r="AV139" s="35"/>
      <c r="AW139" s="35"/>
      <c r="AX139" s="35"/>
      <c r="AY139" s="35"/>
      <c r="AZ139" s="25"/>
      <c r="BA139" s="35"/>
      <c r="BB139" s="25"/>
      <c r="BC139" s="25"/>
      <c r="BD139" s="55"/>
      <c r="BE139" s="25"/>
      <c r="BF139" s="89"/>
      <c r="BG139" s="25"/>
    </row>
    <row r="140" spans="1:59" s="25" customFormat="1" x14ac:dyDescent="0.3">
      <c r="A140" s="19"/>
      <c r="B140" s="19"/>
      <c r="C140" s="50"/>
      <c r="D140" s="50"/>
      <c r="E140" s="50"/>
      <c r="F140" s="51"/>
      <c r="G140" s="57"/>
      <c r="H140" s="51"/>
      <c r="I140" s="52"/>
      <c r="J140" s="20"/>
      <c r="K140" s="21"/>
      <c r="L140" s="21"/>
      <c r="M140" s="46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59"/>
      <c r="AM140" s="23"/>
      <c r="AN140" s="23"/>
      <c r="AO140" s="24"/>
      <c r="AQ140" s="35"/>
      <c r="AR140" s="35"/>
      <c r="AS140" s="35"/>
      <c r="AT140" s="35"/>
      <c r="AU140" s="35"/>
      <c r="AV140" s="35"/>
      <c r="AW140" s="35"/>
      <c r="AX140" s="35"/>
      <c r="AY140" s="35"/>
      <c r="BA140" s="35"/>
      <c r="BD140" s="55"/>
      <c r="BF140" s="89"/>
    </row>
    <row r="141" spans="1:59" s="25" customFormat="1" x14ac:dyDescent="0.3">
      <c r="A141" s="19"/>
      <c r="B141" s="19"/>
      <c r="C141" s="50"/>
      <c r="D141" s="50"/>
      <c r="E141" s="50"/>
      <c r="F141" s="51"/>
      <c r="G141" s="57"/>
      <c r="H141" s="51"/>
      <c r="I141" s="52"/>
      <c r="J141" s="20"/>
      <c r="K141" s="21"/>
      <c r="L141" s="21"/>
      <c r="M141" s="46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59"/>
      <c r="AM141" s="23"/>
      <c r="AN141" s="23"/>
      <c r="AO141" s="24"/>
      <c r="AQ141" s="35"/>
      <c r="AR141" s="35"/>
      <c r="AS141" s="35"/>
      <c r="AT141" s="35"/>
      <c r="AU141" s="35"/>
      <c r="AV141" s="35"/>
      <c r="AW141" s="35"/>
      <c r="AX141" s="35"/>
      <c r="AY141" s="35"/>
      <c r="BA141" s="35"/>
      <c r="BD141" s="55"/>
      <c r="BF141" s="89"/>
    </row>
    <row r="142" spans="1:59" s="25" customFormat="1" x14ac:dyDescent="0.3">
      <c r="A142" s="19"/>
      <c r="B142" s="19"/>
      <c r="C142" s="50"/>
      <c r="D142" s="50"/>
      <c r="E142" s="50"/>
      <c r="F142" s="51"/>
      <c r="G142" s="57"/>
      <c r="H142" s="51"/>
      <c r="I142" s="52"/>
      <c r="J142" s="20"/>
      <c r="K142" s="21"/>
      <c r="L142" s="21"/>
      <c r="M142" s="46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59"/>
      <c r="AM142" s="23"/>
      <c r="AN142" s="23"/>
      <c r="AO142" s="24"/>
      <c r="AQ142" s="35"/>
      <c r="AR142" s="35"/>
      <c r="AS142" s="35"/>
      <c r="AT142" s="35"/>
      <c r="AU142" s="35"/>
      <c r="AV142" s="35"/>
      <c r="AW142" s="35"/>
      <c r="AX142" s="35"/>
      <c r="AY142" s="35"/>
      <c r="BA142" s="35"/>
      <c r="BD142" s="55"/>
      <c r="BF142" s="89"/>
    </row>
    <row r="143" spans="1:59" s="54" customFormat="1" x14ac:dyDescent="0.3">
      <c r="A143" s="19"/>
      <c r="B143" s="19"/>
      <c r="C143" s="50"/>
      <c r="D143" s="50"/>
      <c r="E143" s="50"/>
      <c r="F143" s="51"/>
      <c r="G143" s="57"/>
      <c r="H143" s="51"/>
      <c r="I143" s="52"/>
      <c r="J143" s="20"/>
      <c r="K143" s="21"/>
      <c r="L143" s="21"/>
      <c r="M143" s="46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59"/>
      <c r="AM143" s="23"/>
      <c r="AN143" s="23"/>
      <c r="AO143" s="24"/>
      <c r="AP143" s="25"/>
      <c r="AQ143" s="35"/>
      <c r="AR143" s="35"/>
      <c r="AS143" s="35"/>
      <c r="AT143" s="35"/>
      <c r="AU143" s="35"/>
      <c r="AV143" s="35"/>
      <c r="AW143" s="35"/>
      <c r="AX143" s="35"/>
      <c r="AY143" s="35"/>
      <c r="AZ143" s="25"/>
      <c r="BA143" s="35"/>
      <c r="BB143" s="25"/>
      <c r="BC143" s="25"/>
      <c r="BD143" s="55"/>
      <c r="BE143" s="25"/>
      <c r="BF143" s="89"/>
      <c r="BG143" s="25"/>
    </row>
    <row r="144" spans="1:59" s="54" customFormat="1" x14ac:dyDescent="0.3">
      <c r="A144" s="19"/>
      <c r="B144" s="19"/>
      <c r="C144" s="50"/>
      <c r="D144" s="50"/>
      <c r="E144" s="50"/>
      <c r="F144" s="51"/>
      <c r="G144" s="57"/>
      <c r="H144" s="51"/>
      <c r="I144" s="52"/>
      <c r="J144" s="20"/>
      <c r="K144" s="21"/>
      <c r="L144" s="21"/>
      <c r="M144" s="46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59"/>
      <c r="AM144" s="23"/>
      <c r="AN144" s="23"/>
      <c r="AO144" s="24"/>
      <c r="AP144" s="25"/>
      <c r="AQ144" s="35"/>
      <c r="AR144" s="35"/>
      <c r="AS144" s="35"/>
      <c r="AT144" s="35"/>
      <c r="AU144" s="35"/>
      <c r="AV144" s="35"/>
      <c r="AW144" s="35"/>
      <c r="AX144" s="35"/>
      <c r="AY144" s="35"/>
      <c r="AZ144" s="25"/>
      <c r="BA144" s="35"/>
      <c r="BB144" s="25"/>
      <c r="BC144" s="25"/>
      <c r="BD144" s="55"/>
      <c r="BE144" s="25"/>
      <c r="BF144" s="89"/>
      <c r="BG144" s="25"/>
    </row>
    <row r="145" spans="1:59" s="54" customFormat="1" x14ac:dyDescent="0.3">
      <c r="A145" s="19"/>
      <c r="B145" s="19"/>
      <c r="C145" s="50"/>
      <c r="D145" s="50"/>
      <c r="E145" s="50"/>
      <c r="F145" s="51"/>
      <c r="G145" s="57"/>
      <c r="H145" s="51"/>
      <c r="I145" s="52"/>
      <c r="J145" s="20"/>
      <c r="K145" s="21"/>
      <c r="L145" s="21"/>
      <c r="M145" s="46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59"/>
      <c r="AM145" s="23"/>
      <c r="AN145" s="23"/>
      <c r="AO145" s="24"/>
      <c r="AP145" s="25"/>
      <c r="AQ145" s="35"/>
      <c r="AR145" s="35"/>
      <c r="AS145" s="35"/>
      <c r="AT145" s="35"/>
      <c r="AU145" s="35"/>
      <c r="AV145" s="35"/>
      <c r="AW145" s="35"/>
      <c r="AX145" s="35"/>
      <c r="AY145" s="35"/>
      <c r="AZ145" s="25"/>
      <c r="BA145" s="35"/>
      <c r="BB145" s="25"/>
      <c r="BC145" s="25"/>
      <c r="BD145" s="55"/>
      <c r="BE145" s="25"/>
      <c r="BF145" s="89"/>
      <c r="BG145" s="25"/>
    </row>
    <row r="146" spans="1:59" s="25" customFormat="1" x14ac:dyDescent="0.3">
      <c r="A146" s="19"/>
      <c r="B146" s="19"/>
      <c r="C146" s="50"/>
      <c r="D146" s="50"/>
      <c r="E146" s="50"/>
      <c r="F146" s="51"/>
      <c r="G146" s="57"/>
      <c r="H146" s="51"/>
      <c r="I146" s="52"/>
      <c r="J146" s="20"/>
      <c r="K146" s="21"/>
      <c r="L146" s="21"/>
      <c r="M146" s="46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59"/>
      <c r="AM146" s="23"/>
      <c r="AN146" s="23"/>
      <c r="AO146" s="24"/>
      <c r="AQ146" s="35"/>
      <c r="AR146" s="35"/>
      <c r="AS146" s="35"/>
      <c r="AT146" s="35"/>
      <c r="AU146" s="35"/>
      <c r="AV146" s="35"/>
      <c r="AW146" s="35"/>
      <c r="AX146" s="35"/>
      <c r="AY146" s="35"/>
      <c r="BA146" s="35"/>
      <c r="BD146" s="55"/>
      <c r="BF146" s="89"/>
    </row>
    <row r="147" spans="1:59" s="25" customFormat="1" x14ac:dyDescent="0.3">
      <c r="A147" s="19"/>
      <c r="B147" s="19"/>
      <c r="C147" s="50"/>
      <c r="D147" s="50"/>
      <c r="E147" s="50"/>
      <c r="F147" s="51"/>
      <c r="G147" s="57"/>
      <c r="H147" s="51"/>
      <c r="I147" s="52"/>
      <c r="J147" s="20"/>
      <c r="K147" s="21"/>
      <c r="L147" s="21"/>
      <c r="M147" s="46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59"/>
      <c r="AM147" s="23"/>
      <c r="AN147" s="23"/>
      <c r="AO147" s="24"/>
      <c r="AQ147" s="35"/>
      <c r="AR147" s="35"/>
      <c r="AS147" s="35"/>
      <c r="AT147" s="35"/>
      <c r="AU147" s="35"/>
      <c r="AV147" s="35"/>
      <c r="AW147" s="35"/>
      <c r="AX147" s="35"/>
      <c r="AY147" s="35"/>
      <c r="BA147" s="35"/>
      <c r="BD147" s="55"/>
      <c r="BF147" s="89"/>
    </row>
    <row r="148" spans="1:59" s="25" customFormat="1" x14ac:dyDescent="0.3">
      <c r="A148" s="19"/>
      <c r="B148" s="19"/>
      <c r="C148" s="50"/>
      <c r="D148" s="50"/>
      <c r="E148" s="50"/>
      <c r="F148" s="51"/>
      <c r="G148" s="57"/>
      <c r="H148" s="51"/>
      <c r="I148" s="52"/>
      <c r="J148" s="20"/>
      <c r="K148" s="21"/>
      <c r="L148" s="21"/>
      <c r="M148" s="46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59"/>
      <c r="AM148" s="23"/>
      <c r="AN148" s="23"/>
      <c r="AO148" s="24"/>
      <c r="AQ148" s="35"/>
      <c r="AR148" s="35"/>
      <c r="AS148" s="35"/>
      <c r="AT148" s="35"/>
      <c r="AU148" s="35"/>
      <c r="AV148" s="35"/>
      <c r="AW148" s="35"/>
      <c r="AX148" s="35"/>
      <c r="AY148" s="35"/>
      <c r="BA148" s="35"/>
      <c r="BD148" s="55"/>
      <c r="BF148" s="89"/>
    </row>
    <row r="149" spans="1:59" s="25" customFormat="1" x14ac:dyDescent="0.3">
      <c r="A149" s="19"/>
      <c r="B149" s="19"/>
      <c r="C149" s="50"/>
      <c r="D149" s="50"/>
      <c r="E149" s="50"/>
      <c r="F149" s="51"/>
      <c r="G149" s="57"/>
      <c r="H149" s="51"/>
      <c r="I149" s="52"/>
      <c r="J149" s="20"/>
      <c r="K149" s="21"/>
      <c r="L149" s="21"/>
      <c r="M149" s="46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59"/>
      <c r="AM149" s="23"/>
      <c r="AN149" s="23"/>
      <c r="AO149" s="24"/>
      <c r="AQ149" s="35"/>
      <c r="AR149" s="35"/>
      <c r="AS149" s="35"/>
      <c r="AT149" s="35"/>
      <c r="AU149" s="35"/>
      <c r="AV149" s="35"/>
      <c r="AW149" s="35"/>
      <c r="AX149" s="35"/>
      <c r="AY149" s="35"/>
      <c r="BA149" s="35"/>
      <c r="BD149" s="55"/>
      <c r="BF149" s="89"/>
    </row>
    <row r="150" spans="1:59" s="25" customFormat="1" x14ac:dyDescent="0.3">
      <c r="A150" s="19"/>
      <c r="B150" s="19"/>
      <c r="C150" s="50"/>
      <c r="D150" s="50"/>
      <c r="E150" s="50"/>
      <c r="F150" s="51"/>
      <c r="G150" s="57"/>
      <c r="H150" s="51"/>
      <c r="I150" s="52"/>
      <c r="J150" s="20"/>
      <c r="K150" s="21"/>
      <c r="L150" s="21"/>
      <c r="M150" s="46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59"/>
      <c r="AM150" s="23"/>
      <c r="AN150" s="23"/>
      <c r="AO150" s="24"/>
      <c r="AQ150" s="35"/>
      <c r="AR150" s="35"/>
      <c r="AS150" s="35"/>
      <c r="AT150" s="35"/>
      <c r="AU150" s="35"/>
      <c r="AV150" s="35"/>
      <c r="AW150" s="35"/>
      <c r="AX150" s="35"/>
      <c r="AY150" s="35"/>
      <c r="BA150" s="35"/>
      <c r="BD150" s="55"/>
      <c r="BF150" s="89"/>
    </row>
    <row r="151" spans="1:59" s="25" customFormat="1" x14ac:dyDescent="0.3">
      <c r="A151" s="19"/>
      <c r="B151" s="19"/>
      <c r="C151" s="50"/>
      <c r="D151" s="50"/>
      <c r="E151" s="50"/>
      <c r="F151" s="51"/>
      <c r="G151" s="57"/>
      <c r="H151" s="51"/>
      <c r="I151" s="52"/>
      <c r="J151" s="20"/>
      <c r="K151" s="21"/>
      <c r="L151" s="21"/>
      <c r="M151" s="46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59"/>
      <c r="AM151" s="23"/>
      <c r="AN151" s="23"/>
      <c r="AO151" s="24"/>
      <c r="AQ151" s="35"/>
      <c r="AR151" s="35"/>
      <c r="AS151" s="35"/>
      <c r="AT151" s="35"/>
      <c r="AU151" s="35"/>
      <c r="AV151" s="35"/>
      <c r="AW151" s="35"/>
      <c r="AX151" s="35"/>
      <c r="AY151" s="35"/>
      <c r="BA151" s="35"/>
      <c r="BC151" s="56"/>
      <c r="BD151" s="55"/>
      <c r="BF151" s="89"/>
    </row>
    <row r="152" spans="1:59" s="25" customFormat="1" x14ac:dyDescent="0.3">
      <c r="A152" s="19"/>
      <c r="B152" s="19"/>
      <c r="C152" s="50"/>
      <c r="D152" s="50"/>
      <c r="E152" s="50"/>
      <c r="F152" s="51"/>
      <c r="G152" s="57"/>
      <c r="H152" s="51"/>
      <c r="I152" s="52"/>
      <c r="J152" s="20"/>
      <c r="K152" s="21"/>
      <c r="L152" s="21"/>
      <c r="M152" s="46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59"/>
      <c r="AM152" s="23"/>
      <c r="AN152" s="23"/>
      <c r="AO152" s="24"/>
      <c r="AQ152" s="35"/>
      <c r="AR152" s="35"/>
      <c r="AS152" s="35"/>
      <c r="AT152" s="35"/>
      <c r="AU152" s="35"/>
      <c r="AV152" s="35"/>
      <c r="AW152" s="35"/>
      <c r="AX152" s="35"/>
      <c r="AY152" s="35"/>
      <c r="BA152" s="35"/>
      <c r="BC152" s="56"/>
      <c r="BD152" s="55"/>
      <c r="BF152" s="89"/>
    </row>
    <row r="153" spans="1:59" s="25" customFormat="1" x14ac:dyDescent="0.3">
      <c r="A153" s="19"/>
      <c r="B153" s="19"/>
      <c r="C153" s="50"/>
      <c r="D153" s="50"/>
      <c r="E153" s="50"/>
      <c r="F153" s="51"/>
      <c r="G153" s="57"/>
      <c r="H153" s="51"/>
      <c r="I153" s="52"/>
      <c r="J153" s="20"/>
      <c r="K153" s="21"/>
      <c r="L153" s="21"/>
      <c r="M153" s="46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59"/>
      <c r="AM153" s="23"/>
      <c r="AN153" s="23"/>
      <c r="AO153" s="24"/>
      <c r="AQ153" s="35"/>
      <c r="AR153" s="35"/>
      <c r="AS153" s="35"/>
      <c r="AT153" s="35"/>
      <c r="AU153" s="35"/>
      <c r="AV153" s="35"/>
      <c r="AW153" s="35"/>
      <c r="AX153" s="35"/>
      <c r="AY153" s="35"/>
      <c r="BA153" s="35"/>
      <c r="BC153" s="56"/>
      <c r="BD153" s="55"/>
      <c r="BF153" s="89"/>
    </row>
    <row r="154" spans="1:59" s="54" customFormat="1" x14ac:dyDescent="0.3">
      <c r="A154" s="19"/>
      <c r="B154" s="19"/>
      <c r="C154" s="50"/>
      <c r="D154" s="50"/>
      <c r="E154" s="50"/>
      <c r="F154" s="51"/>
      <c r="G154" s="57"/>
      <c r="H154" s="51"/>
      <c r="I154" s="52"/>
      <c r="J154" s="20"/>
      <c r="K154" s="21"/>
      <c r="L154" s="21"/>
      <c r="M154" s="46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59"/>
      <c r="AM154" s="23"/>
      <c r="AN154" s="23"/>
      <c r="AO154" s="24"/>
      <c r="AP154" s="25"/>
      <c r="AQ154" s="35"/>
      <c r="AR154" s="35"/>
      <c r="AS154" s="35"/>
      <c r="AT154" s="35"/>
      <c r="AU154" s="35"/>
      <c r="AV154" s="35"/>
      <c r="AW154" s="35"/>
      <c r="AX154" s="35"/>
      <c r="AY154" s="35"/>
      <c r="AZ154" s="25"/>
      <c r="BA154" s="35"/>
      <c r="BB154" s="25"/>
      <c r="BC154" s="56"/>
      <c r="BD154" s="55"/>
      <c r="BE154" s="25"/>
      <c r="BF154" s="89"/>
      <c r="BG154" s="25"/>
    </row>
    <row r="155" spans="1:59" s="54" customFormat="1" x14ac:dyDescent="0.3">
      <c r="A155" s="19"/>
      <c r="B155" s="19"/>
      <c r="C155" s="50"/>
      <c r="D155" s="50"/>
      <c r="E155" s="50"/>
      <c r="F155" s="51"/>
      <c r="G155" s="57"/>
      <c r="H155" s="51"/>
      <c r="I155" s="52"/>
      <c r="J155" s="20"/>
      <c r="K155" s="21"/>
      <c r="L155" s="21"/>
      <c r="M155" s="46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59"/>
      <c r="AM155" s="23"/>
      <c r="AN155" s="23"/>
      <c r="AO155" s="24"/>
      <c r="AP155" s="25"/>
      <c r="AQ155" s="35"/>
      <c r="AR155" s="35"/>
      <c r="AS155" s="35"/>
      <c r="AT155" s="35"/>
      <c r="AU155" s="35"/>
      <c r="AV155" s="35"/>
      <c r="AW155" s="35"/>
      <c r="AX155" s="35"/>
      <c r="AY155" s="35"/>
      <c r="AZ155" s="25"/>
      <c r="BA155" s="35"/>
      <c r="BB155" s="25"/>
      <c r="BC155" s="56"/>
      <c r="BD155" s="55"/>
      <c r="BE155" s="25"/>
      <c r="BF155" s="89"/>
      <c r="BG155" s="25"/>
    </row>
    <row r="156" spans="1:59" s="25" customFormat="1" x14ac:dyDescent="0.3">
      <c r="A156" s="19"/>
      <c r="B156" s="19"/>
      <c r="C156" s="50"/>
      <c r="D156" s="50"/>
      <c r="E156" s="50"/>
      <c r="F156" s="51"/>
      <c r="G156" s="57"/>
      <c r="H156" s="51"/>
      <c r="I156" s="52"/>
      <c r="J156" s="20"/>
      <c r="K156" s="21"/>
      <c r="L156" s="21"/>
      <c r="M156" s="46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59"/>
      <c r="AM156" s="23"/>
      <c r="AN156" s="23"/>
      <c r="AO156" s="24"/>
      <c r="AQ156" s="35"/>
      <c r="AR156" s="35"/>
      <c r="AS156" s="35"/>
      <c r="AT156" s="35"/>
      <c r="AU156" s="35"/>
      <c r="AV156" s="35"/>
      <c r="AW156" s="35"/>
      <c r="AX156" s="35"/>
      <c r="AY156" s="35"/>
      <c r="BA156" s="35"/>
      <c r="BC156" s="56"/>
      <c r="BD156" s="55"/>
      <c r="BF156" s="89"/>
    </row>
    <row r="157" spans="1:59" s="54" customFormat="1" x14ac:dyDescent="0.3">
      <c r="A157" s="19"/>
      <c r="B157" s="19"/>
      <c r="C157" s="50"/>
      <c r="D157" s="50"/>
      <c r="E157" s="50"/>
      <c r="F157" s="51"/>
      <c r="G157" s="57"/>
      <c r="H157" s="51"/>
      <c r="I157" s="52"/>
      <c r="J157" s="20"/>
      <c r="K157" s="21"/>
      <c r="L157" s="21"/>
      <c r="M157" s="46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59"/>
      <c r="AM157" s="23"/>
      <c r="AN157" s="23"/>
      <c r="AO157" s="24"/>
      <c r="AP157" s="25"/>
      <c r="AQ157" s="35"/>
      <c r="AR157" s="35"/>
      <c r="AS157" s="35"/>
      <c r="AT157" s="35"/>
      <c r="AU157" s="35"/>
      <c r="AV157" s="35"/>
      <c r="AW157" s="35"/>
      <c r="AX157" s="35"/>
      <c r="AY157" s="35"/>
      <c r="AZ157" s="25"/>
      <c r="BA157" s="35"/>
      <c r="BB157" s="25"/>
      <c r="BC157" s="56"/>
      <c r="BD157" s="55"/>
      <c r="BE157" s="25"/>
      <c r="BF157" s="89"/>
      <c r="BG157" s="25"/>
    </row>
    <row r="158" spans="1:59" s="25" customFormat="1" x14ac:dyDescent="0.3">
      <c r="A158" s="19"/>
      <c r="B158" s="19"/>
      <c r="C158" s="50"/>
      <c r="D158" s="50"/>
      <c r="E158" s="50"/>
      <c r="F158" s="51"/>
      <c r="G158" s="57"/>
      <c r="H158" s="51"/>
      <c r="I158" s="52"/>
      <c r="J158" s="20"/>
      <c r="K158" s="21"/>
      <c r="L158" s="21"/>
      <c r="M158" s="46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59"/>
      <c r="AM158" s="23"/>
      <c r="AN158" s="23"/>
      <c r="AO158" s="24"/>
      <c r="AQ158" s="35"/>
      <c r="AR158" s="35"/>
      <c r="AS158" s="35"/>
      <c r="AT158" s="35"/>
      <c r="AU158" s="35"/>
      <c r="AV158" s="35"/>
      <c r="AW158" s="35"/>
      <c r="AX158" s="35"/>
      <c r="AY158" s="35"/>
      <c r="BA158" s="35"/>
      <c r="BC158" s="56"/>
      <c r="BD158" s="55"/>
      <c r="BF158" s="89"/>
    </row>
    <row r="159" spans="1:59" s="25" customFormat="1" x14ac:dyDescent="0.3">
      <c r="A159" s="19"/>
      <c r="B159" s="19"/>
      <c r="C159" s="50"/>
      <c r="D159" s="50"/>
      <c r="E159" s="50"/>
      <c r="F159" s="51"/>
      <c r="G159" s="57"/>
      <c r="H159" s="51"/>
      <c r="I159" s="52"/>
      <c r="J159" s="20"/>
      <c r="K159" s="21"/>
      <c r="L159" s="21"/>
      <c r="M159" s="46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59"/>
      <c r="AM159" s="23"/>
      <c r="AN159" s="23"/>
      <c r="AO159" s="24"/>
      <c r="AQ159" s="35"/>
      <c r="AR159" s="35"/>
      <c r="AS159" s="35"/>
      <c r="AT159" s="35"/>
      <c r="AU159" s="35"/>
      <c r="AV159" s="35"/>
      <c r="AW159" s="35"/>
      <c r="AX159" s="35"/>
      <c r="AY159" s="35"/>
      <c r="BA159" s="35"/>
      <c r="BC159" s="56"/>
      <c r="BD159" s="55"/>
      <c r="BF159" s="89"/>
    </row>
    <row r="160" spans="1:59" s="54" customFormat="1" x14ac:dyDescent="0.3">
      <c r="A160" s="19"/>
      <c r="B160" s="19"/>
      <c r="C160" s="50"/>
      <c r="D160" s="50"/>
      <c r="E160" s="50"/>
      <c r="F160" s="51"/>
      <c r="G160" s="57"/>
      <c r="H160" s="51"/>
      <c r="I160" s="52"/>
      <c r="J160" s="20"/>
      <c r="K160" s="21"/>
      <c r="L160" s="21"/>
      <c r="M160" s="46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59"/>
      <c r="AM160" s="23"/>
      <c r="AN160" s="23"/>
      <c r="AO160" s="24"/>
      <c r="AP160" s="25"/>
      <c r="AQ160" s="35"/>
      <c r="AR160" s="35"/>
      <c r="AS160" s="35"/>
      <c r="AT160" s="35"/>
      <c r="AU160" s="35"/>
      <c r="AV160" s="35"/>
      <c r="AW160" s="35"/>
      <c r="AX160" s="35"/>
      <c r="AY160" s="35"/>
      <c r="AZ160" s="25"/>
      <c r="BA160" s="35"/>
      <c r="BB160" s="25"/>
      <c r="BC160" s="56"/>
      <c r="BD160" s="55"/>
      <c r="BE160" s="25"/>
      <c r="BF160" s="89"/>
      <c r="BG160" s="25"/>
    </row>
    <row r="161" spans="1:59" s="54" customFormat="1" x14ac:dyDescent="0.3">
      <c r="A161" s="19"/>
      <c r="B161" s="19"/>
      <c r="C161" s="50"/>
      <c r="D161" s="50"/>
      <c r="E161" s="50"/>
      <c r="F161" s="51"/>
      <c r="G161" s="57"/>
      <c r="H161" s="51"/>
      <c r="I161" s="52"/>
      <c r="J161" s="20"/>
      <c r="K161" s="21"/>
      <c r="L161" s="21"/>
      <c r="M161" s="46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59"/>
      <c r="AM161" s="23"/>
      <c r="AN161" s="23"/>
      <c r="AO161" s="24"/>
      <c r="AP161" s="25"/>
      <c r="AQ161" s="35"/>
      <c r="AR161" s="35"/>
      <c r="AS161" s="35"/>
      <c r="AT161" s="35"/>
      <c r="AU161" s="35"/>
      <c r="AV161" s="35"/>
      <c r="AW161" s="35"/>
      <c r="AX161" s="35"/>
      <c r="AY161" s="35"/>
      <c r="AZ161" s="25"/>
      <c r="BA161" s="35"/>
      <c r="BB161" s="25"/>
      <c r="BC161" s="56"/>
      <c r="BD161" s="55"/>
      <c r="BE161" s="25"/>
      <c r="BF161" s="89"/>
      <c r="BG161" s="25"/>
    </row>
    <row r="162" spans="1:59" s="25" customFormat="1" x14ac:dyDescent="0.3">
      <c r="A162" s="19"/>
      <c r="B162" s="19"/>
      <c r="C162" s="50"/>
      <c r="D162" s="50"/>
      <c r="E162" s="50"/>
      <c r="F162" s="51"/>
      <c r="G162" s="57"/>
      <c r="H162" s="51"/>
      <c r="I162" s="52"/>
      <c r="J162" s="20"/>
      <c r="K162" s="21"/>
      <c r="L162" s="21"/>
      <c r="M162" s="46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59"/>
      <c r="AM162" s="23"/>
      <c r="AN162" s="23"/>
      <c r="AO162" s="24"/>
      <c r="AQ162" s="35"/>
      <c r="AR162" s="35"/>
      <c r="AS162" s="35"/>
      <c r="AT162" s="35"/>
      <c r="AU162" s="35"/>
      <c r="AV162" s="35"/>
      <c r="AW162" s="35"/>
      <c r="AX162" s="35"/>
      <c r="AY162" s="35"/>
      <c r="BA162" s="35"/>
      <c r="BC162" s="56"/>
      <c r="BD162" s="55"/>
      <c r="BF162" s="89"/>
    </row>
    <row r="163" spans="1:59" s="25" customFormat="1" x14ac:dyDescent="0.3">
      <c r="A163" s="19"/>
      <c r="B163" s="19"/>
      <c r="C163" s="50"/>
      <c r="D163" s="50"/>
      <c r="E163" s="50"/>
      <c r="F163" s="51"/>
      <c r="G163" s="57"/>
      <c r="H163" s="51"/>
      <c r="I163" s="52"/>
      <c r="J163" s="20"/>
      <c r="K163" s="21"/>
      <c r="L163" s="21"/>
      <c r="M163" s="46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59"/>
      <c r="AM163" s="23"/>
      <c r="AN163" s="23"/>
      <c r="AO163" s="24"/>
      <c r="AQ163" s="35"/>
      <c r="AR163" s="35"/>
      <c r="AS163" s="35"/>
      <c r="AT163" s="35"/>
      <c r="AU163" s="35"/>
      <c r="AV163" s="35"/>
      <c r="AW163" s="35"/>
      <c r="AX163" s="35"/>
      <c r="AY163" s="35"/>
      <c r="BA163" s="35"/>
      <c r="BC163" s="56"/>
      <c r="BD163" s="55"/>
      <c r="BF163" s="89"/>
    </row>
    <row r="164" spans="1:59" s="54" customFormat="1" x14ac:dyDescent="0.3">
      <c r="A164" s="19"/>
      <c r="B164" s="19"/>
      <c r="C164" s="50"/>
      <c r="D164" s="50"/>
      <c r="E164" s="50"/>
      <c r="F164" s="51"/>
      <c r="G164" s="57"/>
      <c r="H164" s="51"/>
      <c r="I164" s="52"/>
      <c r="J164" s="20"/>
      <c r="K164" s="21"/>
      <c r="L164" s="21"/>
      <c r="M164" s="46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59"/>
      <c r="AM164" s="23"/>
      <c r="AN164" s="23"/>
      <c r="AO164" s="24"/>
      <c r="AP164" s="25"/>
      <c r="AQ164" s="35"/>
      <c r="AR164" s="35"/>
      <c r="AS164" s="35"/>
      <c r="AT164" s="35"/>
      <c r="AU164" s="35"/>
      <c r="AV164" s="35"/>
      <c r="AW164" s="35"/>
      <c r="AX164" s="35"/>
      <c r="AY164" s="35"/>
      <c r="AZ164" s="25"/>
      <c r="BA164" s="35"/>
      <c r="BB164" s="25"/>
      <c r="BC164" s="56"/>
      <c r="BD164" s="55"/>
      <c r="BE164" s="25"/>
      <c r="BF164" s="89"/>
      <c r="BG164" s="25"/>
    </row>
    <row r="165" spans="1:59" s="25" customFormat="1" x14ac:dyDescent="0.3">
      <c r="A165" s="19"/>
      <c r="B165" s="19"/>
      <c r="C165" s="50"/>
      <c r="D165" s="50"/>
      <c r="E165" s="50"/>
      <c r="F165" s="51"/>
      <c r="G165" s="57"/>
      <c r="H165" s="51"/>
      <c r="I165" s="52"/>
      <c r="J165" s="20"/>
      <c r="K165" s="21"/>
      <c r="L165" s="21"/>
      <c r="M165" s="46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59"/>
      <c r="AM165" s="23"/>
      <c r="AN165" s="23"/>
      <c r="AO165" s="24"/>
      <c r="AQ165" s="35"/>
      <c r="AR165" s="35"/>
      <c r="AS165" s="35"/>
      <c r="AT165" s="35"/>
      <c r="AU165" s="35"/>
      <c r="AV165" s="35"/>
      <c r="AW165" s="35"/>
      <c r="AX165" s="35"/>
      <c r="AY165" s="35"/>
      <c r="BA165" s="35"/>
      <c r="BC165" s="56"/>
      <c r="BD165" s="55"/>
      <c r="BF165" s="89"/>
    </row>
    <row r="166" spans="1:59" s="25" customFormat="1" x14ac:dyDescent="0.3">
      <c r="A166" s="19"/>
      <c r="B166" s="19"/>
      <c r="C166" s="50"/>
      <c r="D166" s="50"/>
      <c r="E166" s="50"/>
      <c r="F166" s="51"/>
      <c r="G166" s="57"/>
      <c r="H166" s="51"/>
      <c r="I166" s="52"/>
      <c r="J166" s="20"/>
      <c r="K166" s="21"/>
      <c r="L166" s="21"/>
      <c r="M166" s="46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59"/>
      <c r="AM166" s="23"/>
      <c r="AN166" s="23"/>
      <c r="AO166" s="24"/>
      <c r="AQ166" s="35"/>
      <c r="AR166" s="35"/>
      <c r="AS166" s="35"/>
      <c r="AT166" s="35"/>
      <c r="AU166" s="35"/>
      <c r="AV166" s="35"/>
      <c r="AW166" s="35"/>
      <c r="AX166" s="35"/>
      <c r="AY166" s="35"/>
      <c r="BA166" s="35"/>
      <c r="BC166" s="56"/>
      <c r="BD166" s="55"/>
      <c r="BF166" s="89"/>
    </row>
    <row r="167" spans="1:59" s="25" customFormat="1" x14ac:dyDescent="0.3">
      <c r="A167" s="19"/>
      <c r="B167" s="19"/>
      <c r="C167" s="50"/>
      <c r="D167" s="50"/>
      <c r="E167" s="50"/>
      <c r="F167" s="51"/>
      <c r="G167" s="57"/>
      <c r="H167" s="51"/>
      <c r="I167" s="52"/>
      <c r="J167" s="20"/>
      <c r="K167" s="21"/>
      <c r="L167" s="21"/>
      <c r="M167" s="46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59"/>
      <c r="AM167" s="23"/>
      <c r="AN167" s="23"/>
      <c r="AO167" s="24"/>
      <c r="AQ167" s="35"/>
      <c r="AR167" s="35"/>
      <c r="AS167" s="35"/>
      <c r="AT167" s="35"/>
      <c r="AU167" s="35"/>
      <c r="AV167" s="35"/>
      <c r="AW167" s="35"/>
      <c r="AX167" s="35"/>
      <c r="AY167" s="35"/>
      <c r="BA167" s="35"/>
      <c r="BC167" s="56"/>
      <c r="BD167" s="55"/>
      <c r="BF167" s="89"/>
    </row>
    <row r="168" spans="1:59" s="54" customFormat="1" x14ac:dyDescent="0.3">
      <c r="A168" s="19"/>
      <c r="B168" s="19"/>
      <c r="C168" s="50"/>
      <c r="D168" s="50"/>
      <c r="E168" s="43"/>
      <c r="F168" s="44"/>
      <c r="G168" s="58"/>
      <c r="H168" s="44"/>
      <c r="I168" s="45"/>
      <c r="J168" s="20"/>
      <c r="K168" s="83"/>
      <c r="L168" s="83"/>
      <c r="M168" s="46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59"/>
      <c r="AM168" s="23"/>
      <c r="AN168" s="23"/>
      <c r="AO168" s="24"/>
      <c r="AP168" s="25"/>
      <c r="AQ168" s="35"/>
      <c r="AR168" s="35"/>
      <c r="AS168" s="35"/>
      <c r="AT168" s="35"/>
      <c r="AU168" s="35"/>
      <c r="AV168" s="35"/>
      <c r="AW168" s="35"/>
      <c r="AX168" s="35"/>
      <c r="AY168" s="35"/>
      <c r="AZ168" s="25"/>
      <c r="BA168" s="35"/>
      <c r="BB168" s="25"/>
      <c r="BC168" s="25"/>
      <c r="BD168" s="55"/>
      <c r="BE168" s="25"/>
      <c r="BF168" s="89"/>
      <c r="BG168" s="25"/>
    </row>
    <row r="169" spans="1:59" s="54" customFormat="1" x14ac:dyDescent="0.3">
      <c r="A169" s="19"/>
      <c r="B169" s="19"/>
      <c r="C169" s="50"/>
      <c r="D169" s="50"/>
      <c r="E169" s="50"/>
      <c r="F169" s="51"/>
      <c r="G169" s="57"/>
      <c r="H169" s="51"/>
      <c r="I169" s="52"/>
      <c r="J169" s="20"/>
      <c r="K169" s="21"/>
      <c r="L169" s="21"/>
      <c r="M169" s="46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59"/>
      <c r="AM169" s="23"/>
      <c r="AN169" s="23"/>
      <c r="AO169" s="24"/>
      <c r="AP169" s="25"/>
      <c r="AQ169" s="35"/>
      <c r="AR169" s="35"/>
      <c r="AS169" s="35"/>
      <c r="AT169" s="35"/>
      <c r="AU169" s="35"/>
      <c r="AV169" s="35"/>
      <c r="AW169" s="35"/>
      <c r="AX169" s="35"/>
      <c r="AY169" s="35"/>
      <c r="AZ169" s="25"/>
      <c r="BA169" s="35"/>
      <c r="BB169" s="25"/>
      <c r="BC169" s="56"/>
      <c r="BD169" s="55"/>
      <c r="BE169" s="25"/>
      <c r="BF169" s="89"/>
      <c r="BG169" s="25"/>
    </row>
    <row r="170" spans="1:59" s="25" customFormat="1" x14ac:dyDescent="0.3">
      <c r="A170" s="19"/>
      <c r="B170" s="19"/>
      <c r="C170" s="50"/>
      <c r="D170" s="50"/>
      <c r="E170" s="50"/>
      <c r="F170" s="51"/>
      <c r="G170" s="57"/>
      <c r="H170" s="51"/>
      <c r="I170" s="52"/>
      <c r="J170" s="20"/>
      <c r="K170" s="21"/>
      <c r="L170" s="21"/>
      <c r="M170" s="46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59"/>
      <c r="AM170" s="23"/>
      <c r="AN170" s="23"/>
      <c r="AO170" s="24"/>
      <c r="AQ170" s="35"/>
      <c r="AR170" s="35"/>
      <c r="AS170" s="35"/>
      <c r="AT170" s="35"/>
      <c r="AU170" s="35"/>
      <c r="AV170" s="35"/>
      <c r="AW170" s="35"/>
      <c r="AX170" s="35"/>
      <c r="AY170" s="35"/>
      <c r="BA170" s="35"/>
      <c r="BC170" s="56"/>
      <c r="BD170" s="55"/>
      <c r="BF170" s="89"/>
    </row>
    <row r="171" spans="1:59" s="54" customFormat="1" x14ac:dyDescent="0.3">
      <c r="A171" s="19"/>
      <c r="B171" s="19"/>
      <c r="C171" s="50"/>
      <c r="D171" s="50"/>
      <c r="E171" s="50"/>
      <c r="F171" s="51"/>
      <c r="G171" s="57"/>
      <c r="H171" s="51"/>
      <c r="I171" s="52"/>
      <c r="J171" s="20"/>
      <c r="K171" s="21"/>
      <c r="L171" s="21"/>
      <c r="M171" s="46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59"/>
      <c r="AM171" s="23"/>
      <c r="AN171" s="23"/>
      <c r="AO171" s="24"/>
      <c r="AP171" s="25"/>
      <c r="AQ171" s="35"/>
      <c r="AR171" s="35"/>
      <c r="AS171" s="35"/>
      <c r="AT171" s="35"/>
      <c r="AU171" s="35"/>
      <c r="AV171" s="35"/>
      <c r="AW171" s="35"/>
      <c r="AX171" s="35"/>
      <c r="AY171" s="35"/>
      <c r="AZ171" s="25"/>
      <c r="BA171" s="35"/>
      <c r="BB171" s="25"/>
      <c r="BC171" s="56"/>
      <c r="BD171" s="55"/>
      <c r="BE171" s="25"/>
      <c r="BF171" s="89"/>
      <c r="BG171" s="25"/>
    </row>
    <row r="172" spans="1:59" s="25" customFormat="1" x14ac:dyDescent="0.3">
      <c r="A172" s="19"/>
      <c r="B172" s="19"/>
      <c r="C172" s="50"/>
      <c r="D172" s="50"/>
      <c r="E172" s="50"/>
      <c r="F172" s="51"/>
      <c r="G172" s="57"/>
      <c r="H172" s="51"/>
      <c r="I172" s="52"/>
      <c r="J172" s="20"/>
      <c r="K172" s="21"/>
      <c r="L172" s="21"/>
      <c r="M172" s="46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59"/>
      <c r="AM172" s="23"/>
      <c r="AN172" s="23"/>
      <c r="AO172" s="24"/>
      <c r="AQ172" s="35"/>
      <c r="AR172" s="35"/>
      <c r="AS172" s="35"/>
      <c r="AT172" s="35"/>
      <c r="AU172" s="35"/>
      <c r="AV172" s="35"/>
      <c r="AW172" s="35"/>
      <c r="AX172" s="35"/>
      <c r="AY172" s="35"/>
      <c r="BA172" s="35"/>
      <c r="BC172" s="56"/>
      <c r="BD172" s="55"/>
      <c r="BF172" s="89"/>
    </row>
    <row r="173" spans="1:59" s="25" customFormat="1" x14ac:dyDescent="0.3">
      <c r="A173" s="19"/>
      <c r="B173" s="19"/>
      <c r="C173" s="50"/>
      <c r="D173" s="50"/>
      <c r="E173" s="50"/>
      <c r="F173" s="51"/>
      <c r="G173" s="57"/>
      <c r="H173" s="51"/>
      <c r="I173" s="52"/>
      <c r="J173" s="20"/>
      <c r="K173" s="21"/>
      <c r="L173" s="21"/>
      <c r="M173" s="46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59"/>
      <c r="AM173" s="23"/>
      <c r="AN173" s="23"/>
      <c r="AO173" s="24"/>
      <c r="AQ173" s="35"/>
      <c r="AR173" s="35"/>
      <c r="AS173" s="35"/>
      <c r="AT173" s="35"/>
      <c r="AU173" s="35"/>
      <c r="AV173" s="35"/>
      <c r="AW173" s="35"/>
      <c r="AX173" s="35"/>
      <c r="AY173" s="35"/>
      <c r="BA173" s="35"/>
      <c r="BC173" s="56"/>
      <c r="BD173" s="55"/>
      <c r="BF173" s="89"/>
    </row>
    <row r="174" spans="1:59" s="25" customFormat="1" x14ac:dyDescent="0.3">
      <c r="A174" s="19"/>
      <c r="B174" s="19"/>
      <c r="C174" s="50"/>
      <c r="D174" s="50"/>
      <c r="E174" s="50"/>
      <c r="F174" s="51"/>
      <c r="G174" s="57"/>
      <c r="H174" s="51"/>
      <c r="I174" s="52"/>
      <c r="J174" s="20"/>
      <c r="K174" s="21"/>
      <c r="L174" s="21"/>
      <c r="M174" s="46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59"/>
      <c r="AM174" s="23"/>
      <c r="AN174" s="23"/>
      <c r="AO174" s="24"/>
      <c r="AQ174" s="35"/>
      <c r="AR174" s="35"/>
      <c r="AS174" s="35"/>
      <c r="AT174" s="35"/>
      <c r="AU174" s="35"/>
      <c r="AV174" s="35"/>
      <c r="AW174" s="35"/>
      <c r="AX174" s="35"/>
      <c r="AY174" s="35"/>
      <c r="BA174" s="35"/>
      <c r="BC174" s="56"/>
      <c r="BD174" s="55"/>
      <c r="BF174" s="89"/>
    </row>
    <row r="175" spans="1:59" s="54" customFormat="1" x14ac:dyDescent="0.3">
      <c r="A175" s="19"/>
      <c r="B175" s="19"/>
      <c r="C175" s="50"/>
      <c r="D175" s="50"/>
      <c r="E175" s="50"/>
      <c r="F175" s="51"/>
      <c r="G175" s="57"/>
      <c r="H175" s="51"/>
      <c r="I175" s="52"/>
      <c r="J175" s="20"/>
      <c r="K175" s="21"/>
      <c r="L175" s="21"/>
      <c r="M175" s="46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59"/>
      <c r="AM175" s="23"/>
      <c r="AN175" s="23"/>
      <c r="AO175" s="24"/>
      <c r="AP175" s="25"/>
      <c r="AQ175" s="35"/>
      <c r="AR175" s="35"/>
      <c r="AS175" s="35"/>
      <c r="AT175" s="35"/>
      <c r="AU175" s="35"/>
      <c r="AV175" s="35"/>
      <c r="AW175" s="35"/>
      <c r="AX175" s="35"/>
      <c r="AY175" s="35"/>
      <c r="AZ175" s="25"/>
      <c r="BA175" s="35"/>
      <c r="BB175" s="25"/>
      <c r="BC175" s="56"/>
      <c r="BD175" s="55"/>
      <c r="BE175" s="25"/>
      <c r="BF175" s="89"/>
      <c r="BG175" s="25"/>
    </row>
    <row r="176" spans="1:59" s="25" customFormat="1" x14ac:dyDescent="0.3">
      <c r="A176" s="19"/>
      <c r="B176" s="19"/>
      <c r="C176" s="50"/>
      <c r="D176" s="50"/>
      <c r="E176" s="50"/>
      <c r="F176" s="51"/>
      <c r="G176" s="57"/>
      <c r="H176" s="51"/>
      <c r="I176" s="52"/>
      <c r="J176" s="20"/>
      <c r="K176" s="21"/>
      <c r="L176" s="21"/>
      <c r="M176" s="46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59"/>
      <c r="AM176" s="23"/>
      <c r="AN176" s="23"/>
      <c r="AO176" s="24"/>
      <c r="AQ176" s="35"/>
      <c r="AR176" s="35"/>
      <c r="AS176" s="35"/>
      <c r="AT176" s="35"/>
      <c r="AU176" s="35"/>
      <c r="AV176" s="35"/>
      <c r="AW176" s="35"/>
      <c r="AX176" s="35"/>
      <c r="AY176" s="35"/>
      <c r="BA176" s="35"/>
      <c r="BC176" s="56"/>
      <c r="BD176" s="55"/>
      <c r="BF176" s="89"/>
    </row>
    <row r="177" spans="1:59" s="25" customFormat="1" x14ac:dyDescent="0.3">
      <c r="A177" s="19"/>
      <c r="B177" s="19"/>
      <c r="C177" s="50"/>
      <c r="D177" s="50"/>
      <c r="E177" s="50"/>
      <c r="F177" s="51"/>
      <c r="G177" s="57"/>
      <c r="H177" s="51"/>
      <c r="I177" s="52"/>
      <c r="J177" s="20"/>
      <c r="K177" s="21"/>
      <c r="L177" s="21"/>
      <c r="M177" s="46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59"/>
      <c r="AM177" s="23"/>
      <c r="AN177" s="23"/>
      <c r="AO177" s="24"/>
      <c r="AQ177" s="35"/>
      <c r="AR177" s="35"/>
      <c r="AS177" s="35"/>
      <c r="AT177" s="35"/>
      <c r="AU177" s="35"/>
      <c r="AV177" s="35"/>
      <c r="AW177" s="35"/>
      <c r="AX177" s="35"/>
      <c r="AY177" s="35"/>
      <c r="BA177" s="35"/>
      <c r="BC177" s="56"/>
      <c r="BD177" s="55"/>
      <c r="BF177" s="89"/>
    </row>
    <row r="178" spans="1:59" s="25" customFormat="1" x14ac:dyDescent="0.3">
      <c r="A178" s="19"/>
      <c r="B178" s="19"/>
      <c r="C178" s="50"/>
      <c r="D178" s="50"/>
      <c r="E178" s="50"/>
      <c r="F178" s="51"/>
      <c r="G178" s="57"/>
      <c r="H178" s="51"/>
      <c r="I178" s="52"/>
      <c r="J178" s="20"/>
      <c r="K178" s="21"/>
      <c r="L178" s="21"/>
      <c r="M178" s="46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59"/>
      <c r="AM178" s="23"/>
      <c r="AN178" s="23"/>
      <c r="AO178" s="24"/>
      <c r="AQ178" s="35"/>
      <c r="AR178" s="35"/>
      <c r="AS178" s="35"/>
      <c r="AT178" s="35"/>
      <c r="AU178" s="35"/>
      <c r="AV178" s="35"/>
      <c r="AW178" s="35"/>
      <c r="AX178" s="35"/>
      <c r="AY178" s="35"/>
      <c r="BA178" s="35"/>
      <c r="BC178" s="56"/>
      <c r="BD178" s="55"/>
      <c r="BF178" s="89"/>
    </row>
    <row r="179" spans="1:59" s="54" customFormat="1" x14ac:dyDescent="0.3">
      <c r="A179" s="19"/>
      <c r="B179" s="19"/>
      <c r="C179" s="50"/>
      <c r="D179" s="50"/>
      <c r="E179" s="50"/>
      <c r="F179" s="51"/>
      <c r="G179" s="57"/>
      <c r="H179" s="51"/>
      <c r="I179" s="52"/>
      <c r="J179" s="20"/>
      <c r="K179" s="21"/>
      <c r="L179" s="21"/>
      <c r="M179" s="46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59"/>
      <c r="AM179" s="23"/>
      <c r="AN179" s="23"/>
      <c r="AO179" s="24"/>
      <c r="AP179" s="25"/>
      <c r="AQ179" s="35"/>
      <c r="AR179" s="35"/>
      <c r="AS179" s="35"/>
      <c r="AT179" s="35"/>
      <c r="AU179" s="35"/>
      <c r="AV179" s="35"/>
      <c r="AW179" s="35"/>
      <c r="AX179" s="35"/>
      <c r="AY179" s="35"/>
      <c r="AZ179" s="25"/>
      <c r="BA179" s="35"/>
      <c r="BB179" s="25"/>
      <c r="BC179" s="56"/>
      <c r="BD179" s="55"/>
      <c r="BE179" s="25"/>
      <c r="BF179" s="89"/>
      <c r="BG179" s="25"/>
    </row>
    <row r="180" spans="1:59" s="25" customFormat="1" x14ac:dyDescent="0.3">
      <c r="A180" s="19"/>
      <c r="B180" s="19"/>
      <c r="C180" s="50"/>
      <c r="D180" s="50"/>
      <c r="E180" s="50"/>
      <c r="F180" s="51"/>
      <c r="G180" s="57"/>
      <c r="H180" s="51"/>
      <c r="I180" s="52"/>
      <c r="J180" s="20"/>
      <c r="K180" s="21"/>
      <c r="L180" s="21"/>
      <c r="M180" s="46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59"/>
      <c r="AM180" s="23"/>
      <c r="AN180" s="23"/>
      <c r="AO180" s="24"/>
      <c r="AQ180" s="35"/>
      <c r="AR180" s="35"/>
      <c r="AS180" s="35"/>
      <c r="AT180" s="35"/>
      <c r="AU180" s="35"/>
      <c r="AV180" s="35"/>
      <c r="AW180" s="35"/>
      <c r="AX180" s="35"/>
      <c r="AY180" s="35"/>
      <c r="BA180" s="35"/>
      <c r="BC180" s="56"/>
      <c r="BD180" s="55"/>
      <c r="BF180" s="89"/>
    </row>
    <row r="181" spans="1:59" s="25" customFormat="1" x14ac:dyDescent="0.3">
      <c r="A181" s="19"/>
      <c r="B181" s="19"/>
      <c r="C181" s="50"/>
      <c r="D181" s="50"/>
      <c r="E181" s="50"/>
      <c r="F181" s="51"/>
      <c r="G181" s="57"/>
      <c r="H181" s="51"/>
      <c r="I181" s="52"/>
      <c r="J181" s="20"/>
      <c r="K181" s="21"/>
      <c r="L181" s="21"/>
      <c r="M181" s="46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59"/>
      <c r="AM181" s="23"/>
      <c r="AN181" s="23"/>
      <c r="AO181" s="24"/>
      <c r="AQ181" s="35"/>
      <c r="AR181" s="35"/>
      <c r="AS181" s="35"/>
      <c r="AT181" s="35"/>
      <c r="AU181" s="35"/>
      <c r="AV181" s="35"/>
      <c r="AW181" s="35"/>
      <c r="AX181" s="35"/>
      <c r="AY181" s="35"/>
      <c r="BA181" s="35"/>
      <c r="BC181" s="56"/>
      <c r="BD181" s="55"/>
      <c r="BF181" s="89"/>
    </row>
    <row r="182" spans="1:59" s="25" customFormat="1" x14ac:dyDescent="0.3">
      <c r="A182" s="19"/>
      <c r="B182" s="19"/>
      <c r="C182" s="50"/>
      <c r="D182" s="50"/>
      <c r="E182" s="50"/>
      <c r="F182" s="51"/>
      <c r="G182" s="57"/>
      <c r="H182" s="51"/>
      <c r="I182" s="52"/>
      <c r="J182" s="20"/>
      <c r="K182" s="21"/>
      <c r="L182" s="21"/>
      <c r="M182" s="46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59"/>
      <c r="AM182" s="23"/>
      <c r="AN182" s="23"/>
      <c r="AO182" s="24"/>
      <c r="AQ182" s="35"/>
      <c r="AR182" s="35"/>
      <c r="AS182" s="35"/>
      <c r="AT182" s="35"/>
      <c r="AU182" s="35"/>
      <c r="AV182" s="35"/>
      <c r="AW182" s="35"/>
      <c r="AX182" s="35"/>
      <c r="AY182" s="35"/>
      <c r="BA182" s="35"/>
      <c r="BC182" s="56"/>
      <c r="BD182" s="55"/>
      <c r="BF182" s="89"/>
    </row>
    <row r="183" spans="1:59" s="25" customFormat="1" x14ac:dyDescent="0.3">
      <c r="A183" s="19"/>
      <c r="B183" s="19"/>
      <c r="C183" s="50"/>
      <c r="D183" s="50"/>
      <c r="E183" s="50"/>
      <c r="F183" s="51"/>
      <c r="G183" s="57"/>
      <c r="H183" s="51"/>
      <c r="I183" s="52"/>
      <c r="J183" s="20"/>
      <c r="K183" s="21"/>
      <c r="L183" s="21"/>
      <c r="M183" s="46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59"/>
      <c r="AM183" s="23"/>
      <c r="AN183" s="23"/>
      <c r="AO183" s="24"/>
      <c r="AQ183" s="35"/>
      <c r="AR183" s="35"/>
      <c r="AS183" s="35"/>
      <c r="AT183" s="35"/>
      <c r="AU183" s="35"/>
      <c r="AV183" s="35"/>
      <c r="AW183" s="35"/>
      <c r="AX183" s="35"/>
      <c r="AY183" s="35"/>
      <c r="BA183" s="35"/>
      <c r="BC183" s="56"/>
      <c r="BD183" s="55"/>
      <c r="BF183" s="89"/>
    </row>
    <row r="184" spans="1:59" s="25" customFormat="1" x14ac:dyDescent="0.3">
      <c r="A184" s="19"/>
      <c r="B184" s="19"/>
      <c r="C184" s="50"/>
      <c r="D184" s="50"/>
      <c r="E184" s="50"/>
      <c r="F184" s="51"/>
      <c r="G184" s="57"/>
      <c r="H184" s="51"/>
      <c r="I184" s="52"/>
      <c r="J184" s="20"/>
      <c r="K184" s="21"/>
      <c r="L184" s="21"/>
      <c r="M184" s="46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59"/>
      <c r="AM184" s="23"/>
      <c r="AN184" s="23"/>
      <c r="AO184" s="24"/>
      <c r="AQ184" s="35"/>
      <c r="AR184" s="35"/>
      <c r="AS184" s="35"/>
      <c r="AT184" s="35"/>
      <c r="AU184" s="35"/>
      <c r="AV184" s="35"/>
      <c r="AW184" s="35"/>
      <c r="AX184" s="35"/>
      <c r="AY184" s="35"/>
      <c r="BA184" s="35"/>
      <c r="BC184" s="56"/>
      <c r="BD184" s="55"/>
      <c r="BF184" s="89"/>
    </row>
    <row r="185" spans="1:59" s="25" customFormat="1" x14ac:dyDescent="0.3">
      <c r="A185" s="19"/>
      <c r="B185" s="19"/>
      <c r="C185" s="50"/>
      <c r="D185" s="50"/>
      <c r="E185" s="50"/>
      <c r="F185" s="51"/>
      <c r="G185" s="57"/>
      <c r="H185" s="51"/>
      <c r="I185" s="52"/>
      <c r="J185" s="20"/>
      <c r="K185" s="21"/>
      <c r="L185" s="21"/>
      <c r="M185" s="46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59"/>
      <c r="AM185" s="23"/>
      <c r="AN185" s="23"/>
      <c r="AO185" s="24"/>
      <c r="AQ185" s="35"/>
      <c r="AR185" s="35"/>
      <c r="AS185" s="35"/>
      <c r="AT185" s="35"/>
      <c r="AU185" s="35"/>
      <c r="AV185" s="35"/>
      <c r="AW185" s="35"/>
      <c r="AX185" s="35"/>
      <c r="AY185" s="35"/>
      <c r="BA185" s="35"/>
      <c r="BC185" s="56"/>
      <c r="BD185" s="55"/>
      <c r="BF185" s="89"/>
    </row>
    <row r="186" spans="1:59" s="54" customFormat="1" x14ac:dyDescent="0.3">
      <c r="A186" s="19"/>
      <c r="B186" s="19"/>
      <c r="C186" s="50"/>
      <c r="D186" s="50"/>
      <c r="E186" s="50"/>
      <c r="F186" s="51"/>
      <c r="G186" s="57"/>
      <c r="H186" s="51"/>
      <c r="I186" s="52"/>
      <c r="J186" s="20"/>
      <c r="K186" s="21"/>
      <c r="L186" s="21"/>
      <c r="M186" s="46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59"/>
      <c r="AM186" s="23"/>
      <c r="AN186" s="23"/>
      <c r="AO186" s="24"/>
      <c r="AP186" s="25"/>
      <c r="AQ186" s="35"/>
      <c r="AR186" s="35"/>
      <c r="AS186" s="35"/>
      <c r="AT186" s="35"/>
      <c r="AU186" s="35"/>
      <c r="AV186" s="35"/>
      <c r="AW186" s="35"/>
      <c r="AX186" s="35"/>
      <c r="AY186" s="35"/>
      <c r="AZ186" s="25"/>
      <c r="BA186" s="35"/>
      <c r="BB186" s="25"/>
      <c r="BC186" s="56"/>
      <c r="BD186" s="55"/>
      <c r="BE186" s="25"/>
      <c r="BF186" s="89"/>
      <c r="BG186" s="25"/>
    </row>
    <row r="187" spans="1:59" s="54" customFormat="1" x14ac:dyDescent="0.3">
      <c r="A187" s="19"/>
      <c r="B187" s="19"/>
      <c r="C187" s="50"/>
      <c r="D187" s="50"/>
      <c r="E187" s="50"/>
      <c r="F187" s="51"/>
      <c r="G187" s="57"/>
      <c r="H187" s="51"/>
      <c r="I187" s="52"/>
      <c r="J187" s="20"/>
      <c r="K187" s="21"/>
      <c r="L187" s="21"/>
      <c r="M187" s="46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59"/>
      <c r="AM187" s="23"/>
      <c r="AN187" s="23"/>
      <c r="AO187" s="24"/>
      <c r="AP187" s="25"/>
      <c r="AQ187" s="35"/>
      <c r="AR187" s="35"/>
      <c r="AS187" s="35"/>
      <c r="AT187" s="35"/>
      <c r="AU187" s="35"/>
      <c r="AV187" s="35"/>
      <c r="AW187" s="35"/>
      <c r="AX187" s="35"/>
      <c r="AY187" s="35"/>
      <c r="AZ187" s="25"/>
      <c r="BA187" s="35"/>
      <c r="BB187" s="25"/>
      <c r="BC187" s="56"/>
      <c r="BD187" s="55"/>
      <c r="BE187" s="25"/>
      <c r="BF187" s="89"/>
      <c r="BG187" s="25"/>
    </row>
    <row r="188" spans="1:59" s="25" customFormat="1" x14ac:dyDescent="0.3">
      <c r="A188" s="19"/>
      <c r="B188" s="19"/>
      <c r="C188" s="50"/>
      <c r="D188" s="50"/>
      <c r="E188" s="50"/>
      <c r="F188" s="51"/>
      <c r="G188" s="57"/>
      <c r="H188" s="51"/>
      <c r="I188" s="52"/>
      <c r="J188" s="20"/>
      <c r="K188" s="21"/>
      <c r="L188" s="21"/>
      <c r="M188" s="46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59"/>
      <c r="AM188" s="23"/>
      <c r="AN188" s="23"/>
      <c r="AO188" s="24"/>
      <c r="AQ188" s="35"/>
      <c r="AR188" s="35"/>
      <c r="AS188" s="35"/>
      <c r="AT188" s="35"/>
      <c r="AU188" s="35"/>
      <c r="AV188" s="35"/>
      <c r="AW188" s="35"/>
      <c r="AX188" s="35"/>
      <c r="AY188" s="35"/>
      <c r="BA188" s="35"/>
      <c r="BC188" s="56"/>
      <c r="BD188" s="55"/>
      <c r="BF188" s="89"/>
    </row>
    <row r="189" spans="1:59" s="25" customFormat="1" x14ac:dyDescent="0.3">
      <c r="A189" s="19"/>
      <c r="B189" s="19"/>
      <c r="C189" s="50"/>
      <c r="D189" s="50"/>
      <c r="E189" s="50"/>
      <c r="F189" s="51"/>
      <c r="G189" s="57"/>
      <c r="H189" s="51"/>
      <c r="I189" s="52"/>
      <c r="J189" s="20"/>
      <c r="K189" s="21"/>
      <c r="L189" s="21"/>
      <c r="M189" s="46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59"/>
      <c r="AM189" s="23"/>
      <c r="AN189" s="23"/>
      <c r="AO189" s="24"/>
      <c r="AQ189" s="35"/>
      <c r="AR189" s="35"/>
      <c r="AS189" s="35"/>
      <c r="AT189" s="35"/>
      <c r="AU189" s="35"/>
      <c r="AV189" s="35"/>
      <c r="AW189" s="35"/>
      <c r="AX189" s="35"/>
      <c r="AY189" s="35"/>
      <c r="BA189" s="35"/>
      <c r="BC189" s="56"/>
      <c r="BD189" s="55"/>
      <c r="BF189" s="89"/>
    </row>
    <row r="190" spans="1:59" s="25" customFormat="1" x14ac:dyDescent="0.3">
      <c r="A190" s="19"/>
      <c r="B190" s="19"/>
      <c r="C190" s="50"/>
      <c r="D190" s="50"/>
      <c r="E190" s="50"/>
      <c r="F190" s="51"/>
      <c r="G190" s="57"/>
      <c r="H190" s="51"/>
      <c r="I190" s="52"/>
      <c r="J190" s="20"/>
      <c r="K190" s="21"/>
      <c r="L190" s="21"/>
      <c r="M190" s="46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59"/>
      <c r="AM190" s="23"/>
      <c r="AN190" s="23"/>
      <c r="AO190" s="24"/>
      <c r="AQ190" s="35"/>
      <c r="AR190" s="35"/>
      <c r="AS190" s="35"/>
      <c r="AT190" s="35"/>
      <c r="AU190" s="35"/>
      <c r="AV190" s="35"/>
      <c r="AW190" s="35"/>
      <c r="AX190" s="35"/>
      <c r="AY190" s="35"/>
      <c r="BA190" s="35"/>
      <c r="BC190" s="56"/>
      <c r="BD190" s="55"/>
      <c r="BF190" s="89"/>
    </row>
    <row r="191" spans="1:59" s="25" customFormat="1" x14ac:dyDescent="0.3">
      <c r="A191" s="19"/>
      <c r="B191" s="19"/>
      <c r="C191" s="50"/>
      <c r="D191" s="50"/>
      <c r="E191" s="50"/>
      <c r="F191" s="51"/>
      <c r="G191" s="57"/>
      <c r="H191" s="51"/>
      <c r="I191" s="52"/>
      <c r="J191" s="20"/>
      <c r="K191" s="21"/>
      <c r="L191" s="21"/>
      <c r="M191" s="46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59"/>
      <c r="AM191" s="23"/>
      <c r="AN191" s="23"/>
      <c r="AO191" s="24"/>
      <c r="AQ191" s="35"/>
      <c r="AR191" s="35"/>
      <c r="AS191" s="35"/>
      <c r="AT191" s="35"/>
      <c r="AU191" s="35"/>
      <c r="AV191" s="35"/>
      <c r="AW191" s="35"/>
      <c r="AX191" s="35"/>
      <c r="AY191" s="35"/>
      <c r="BA191" s="35"/>
      <c r="BC191" s="56"/>
      <c r="BD191" s="55"/>
      <c r="BF191" s="89"/>
    </row>
    <row r="192" spans="1:59" s="25" customFormat="1" x14ac:dyDescent="0.3">
      <c r="A192" s="19"/>
      <c r="B192" s="19"/>
      <c r="C192" s="50"/>
      <c r="D192" s="50"/>
      <c r="E192" s="50"/>
      <c r="F192" s="51"/>
      <c r="G192" s="57"/>
      <c r="H192" s="51"/>
      <c r="I192" s="52"/>
      <c r="J192" s="20"/>
      <c r="K192" s="21"/>
      <c r="L192" s="21"/>
      <c r="M192" s="46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59"/>
      <c r="AM192" s="23"/>
      <c r="AN192" s="23"/>
      <c r="AO192" s="24"/>
      <c r="AQ192" s="35"/>
      <c r="AR192" s="35"/>
      <c r="AS192" s="35"/>
      <c r="AT192" s="35"/>
      <c r="AU192" s="35"/>
      <c r="AV192" s="35"/>
      <c r="AW192" s="35"/>
      <c r="AX192" s="35"/>
      <c r="AY192" s="35"/>
      <c r="BA192" s="35"/>
      <c r="BC192" s="56"/>
      <c r="BD192" s="55"/>
      <c r="BF192" s="89"/>
    </row>
    <row r="193" spans="1:58" s="25" customFormat="1" x14ac:dyDescent="0.3">
      <c r="A193" s="19"/>
      <c r="B193" s="19"/>
      <c r="C193" s="50"/>
      <c r="D193" s="50"/>
      <c r="E193" s="50"/>
      <c r="F193" s="51"/>
      <c r="G193" s="57"/>
      <c r="H193" s="51"/>
      <c r="I193" s="52"/>
      <c r="J193" s="20"/>
      <c r="K193" s="21"/>
      <c r="L193" s="21"/>
      <c r="M193" s="46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59"/>
      <c r="AM193" s="23"/>
      <c r="AN193" s="23"/>
      <c r="AO193" s="24"/>
      <c r="AQ193" s="35"/>
      <c r="AR193" s="35"/>
      <c r="AS193" s="35"/>
      <c r="AT193" s="35"/>
      <c r="AU193" s="35"/>
      <c r="AV193" s="35"/>
      <c r="AW193" s="35"/>
      <c r="AX193" s="35"/>
      <c r="AY193" s="35"/>
      <c r="BA193" s="35"/>
      <c r="BC193" s="56"/>
      <c r="BD193" s="55"/>
      <c r="BF193" s="89"/>
    </row>
    <row r="194" spans="1:58" s="25" customFormat="1" x14ac:dyDescent="0.3">
      <c r="A194" s="19"/>
      <c r="B194" s="19"/>
      <c r="C194" s="50"/>
      <c r="D194" s="50"/>
      <c r="E194" s="50"/>
      <c r="F194" s="51"/>
      <c r="G194" s="57"/>
      <c r="H194" s="51"/>
      <c r="I194" s="52"/>
      <c r="J194" s="20"/>
      <c r="K194" s="21"/>
      <c r="L194" s="21"/>
      <c r="M194" s="46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59"/>
      <c r="AM194" s="23"/>
      <c r="AN194" s="23"/>
      <c r="AO194" s="24"/>
      <c r="AQ194" s="35"/>
      <c r="AR194" s="35"/>
      <c r="AS194" s="35"/>
      <c r="AT194" s="35"/>
      <c r="AU194" s="35"/>
      <c r="AV194" s="35"/>
      <c r="AW194" s="35"/>
      <c r="AX194" s="35"/>
      <c r="AY194" s="35"/>
      <c r="BA194" s="35"/>
      <c r="BC194" s="56"/>
      <c r="BD194" s="55"/>
      <c r="BF194" s="89"/>
    </row>
    <row r="195" spans="1:58" s="25" customFormat="1" x14ac:dyDescent="0.3">
      <c r="A195" s="19"/>
      <c r="B195" s="19"/>
      <c r="C195" s="50"/>
      <c r="D195" s="50"/>
      <c r="E195" s="50"/>
      <c r="F195" s="51"/>
      <c r="G195" s="57"/>
      <c r="H195" s="51"/>
      <c r="I195" s="52"/>
      <c r="J195" s="20"/>
      <c r="K195" s="21"/>
      <c r="L195" s="21"/>
      <c r="M195" s="46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59"/>
      <c r="AM195" s="23"/>
      <c r="AN195" s="23"/>
      <c r="AO195" s="24"/>
      <c r="AQ195" s="35"/>
      <c r="AR195" s="35"/>
      <c r="AS195" s="35"/>
      <c r="AT195" s="35"/>
      <c r="AU195" s="35"/>
      <c r="AV195" s="35"/>
      <c r="AW195" s="35"/>
      <c r="AX195" s="35"/>
      <c r="AY195" s="35"/>
      <c r="BA195" s="35"/>
      <c r="BC195" s="56"/>
      <c r="BD195" s="55"/>
      <c r="BF195" s="89"/>
    </row>
    <row r="196" spans="1:58" s="25" customFormat="1" x14ac:dyDescent="0.3">
      <c r="A196" s="19"/>
      <c r="B196" s="19"/>
      <c r="C196" s="50"/>
      <c r="D196" s="50"/>
      <c r="E196" s="50"/>
      <c r="F196" s="51"/>
      <c r="G196" s="57"/>
      <c r="H196" s="51"/>
      <c r="I196" s="52"/>
      <c r="J196" s="20"/>
      <c r="K196" s="21"/>
      <c r="L196" s="21"/>
      <c r="M196" s="46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59"/>
      <c r="AM196" s="23"/>
      <c r="AN196" s="23"/>
      <c r="AO196" s="24"/>
      <c r="AQ196" s="35"/>
      <c r="AR196" s="35"/>
      <c r="AS196" s="35"/>
      <c r="AT196" s="35"/>
      <c r="AU196" s="35"/>
      <c r="AV196" s="35"/>
      <c r="AW196" s="35"/>
      <c r="AX196" s="35"/>
      <c r="AY196" s="35"/>
      <c r="BA196" s="35"/>
      <c r="BC196" s="56"/>
      <c r="BD196" s="55"/>
      <c r="BF196" s="89"/>
    </row>
    <row r="197" spans="1:58" s="25" customFormat="1" x14ac:dyDescent="0.3">
      <c r="A197" s="19"/>
      <c r="B197" s="19"/>
      <c r="C197" s="50"/>
      <c r="D197" s="50"/>
      <c r="E197" s="50"/>
      <c r="F197" s="51"/>
      <c r="G197" s="57"/>
      <c r="H197" s="51"/>
      <c r="I197" s="52"/>
      <c r="J197" s="20"/>
      <c r="K197" s="21"/>
      <c r="L197" s="21"/>
      <c r="M197" s="46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59"/>
      <c r="AM197" s="23"/>
      <c r="AN197" s="23"/>
      <c r="AO197" s="24"/>
      <c r="AQ197" s="35"/>
      <c r="AR197" s="35"/>
      <c r="AS197" s="35"/>
      <c r="AT197" s="35"/>
      <c r="AU197" s="35"/>
      <c r="AV197" s="35"/>
      <c r="AW197" s="35"/>
      <c r="AX197" s="35"/>
      <c r="AY197" s="35"/>
      <c r="BA197" s="35"/>
      <c r="BC197" s="56"/>
      <c r="BD197" s="55"/>
      <c r="BF197" s="89"/>
    </row>
    <row r="198" spans="1:58" s="25" customFormat="1" x14ac:dyDescent="0.3">
      <c r="A198" s="19"/>
      <c r="B198" s="19"/>
      <c r="C198" s="50"/>
      <c r="D198" s="50"/>
      <c r="E198" s="50"/>
      <c r="F198" s="51"/>
      <c r="G198" s="57"/>
      <c r="H198" s="51"/>
      <c r="I198" s="52"/>
      <c r="J198" s="20"/>
      <c r="K198" s="21"/>
      <c r="L198" s="21"/>
      <c r="M198" s="46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59"/>
      <c r="AM198" s="23"/>
      <c r="AN198" s="23"/>
      <c r="AO198" s="24"/>
      <c r="AQ198" s="35"/>
      <c r="AR198" s="35"/>
      <c r="AS198" s="35"/>
      <c r="AT198" s="35"/>
      <c r="AU198" s="35"/>
      <c r="AV198" s="35"/>
      <c r="AW198" s="35"/>
      <c r="AX198" s="35"/>
      <c r="AY198" s="35"/>
      <c r="BA198" s="35"/>
      <c r="BC198" s="56"/>
      <c r="BD198" s="55"/>
      <c r="BF198" s="89"/>
    </row>
    <row r="199" spans="1:58" s="25" customFormat="1" x14ac:dyDescent="0.3">
      <c r="A199" s="19"/>
      <c r="B199" s="19"/>
      <c r="C199" s="50"/>
      <c r="D199" s="50"/>
      <c r="E199" s="50"/>
      <c r="F199" s="51"/>
      <c r="G199" s="57"/>
      <c r="H199" s="51"/>
      <c r="I199" s="52"/>
      <c r="J199" s="20"/>
      <c r="K199" s="21"/>
      <c r="L199" s="21"/>
      <c r="M199" s="46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59"/>
      <c r="AM199" s="23"/>
      <c r="AN199" s="23"/>
      <c r="AO199" s="24"/>
      <c r="AQ199" s="35"/>
      <c r="AR199" s="35"/>
      <c r="AS199" s="35"/>
      <c r="AT199" s="35"/>
      <c r="AU199" s="35"/>
      <c r="AV199" s="35"/>
      <c r="AW199" s="35"/>
      <c r="AX199" s="35"/>
      <c r="AY199" s="35"/>
      <c r="BA199" s="35"/>
      <c r="BC199" s="56"/>
      <c r="BD199" s="55"/>
      <c r="BF199" s="89"/>
    </row>
    <row r="200" spans="1:58" s="25" customFormat="1" x14ac:dyDescent="0.3">
      <c r="A200" s="19"/>
      <c r="B200" s="19"/>
      <c r="C200" s="50"/>
      <c r="D200" s="50"/>
      <c r="E200" s="50"/>
      <c r="F200" s="51"/>
      <c r="G200" s="57"/>
      <c r="H200" s="51"/>
      <c r="I200" s="52"/>
      <c r="J200" s="20"/>
      <c r="K200" s="21"/>
      <c r="L200" s="21"/>
      <c r="M200" s="46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59"/>
      <c r="AM200" s="23"/>
      <c r="AN200" s="23"/>
      <c r="AO200" s="24"/>
      <c r="AQ200" s="35"/>
      <c r="AR200" s="35"/>
      <c r="AS200" s="35"/>
      <c r="AT200" s="35"/>
      <c r="AU200" s="35"/>
      <c r="AV200" s="35"/>
      <c r="AW200" s="35"/>
      <c r="AX200" s="35"/>
      <c r="AY200" s="35"/>
      <c r="BA200" s="35"/>
      <c r="BC200" s="56"/>
      <c r="BD200" s="55"/>
      <c r="BF200" s="89"/>
    </row>
    <row r="201" spans="1:58" s="25" customFormat="1" x14ac:dyDescent="0.3">
      <c r="A201" s="19"/>
      <c r="B201" s="19"/>
      <c r="C201" s="50"/>
      <c r="D201" s="50"/>
      <c r="E201" s="50"/>
      <c r="F201" s="51"/>
      <c r="G201" s="57"/>
      <c r="H201" s="51"/>
      <c r="I201" s="52"/>
      <c r="J201" s="20"/>
      <c r="K201" s="21"/>
      <c r="L201" s="21"/>
      <c r="M201" s="46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59"/>
      <c r="AM201" s="23"/>
      <c r="AN201" s="23"/>
      <c r="AO201" s="24"/>
      <c r="AQ201" s="35"/>
      <c r="AR201" s="35"/>
      <c r="AS201" s="35"/>
      <c r="AT201" s="35"/>
      <c r="AU201" s="35"/>
      <c r="AV201" s="35"/>
      <c r="AW201" s="35"/>
      <c r="AX201" s="35"/>
      <c r="AY201" s="35"/>
      <c r="BA201" s="35"/>
      <c r="BC201" s="56"/>
      <c r="BD201" s="55"/>
      <c r="BF201" s="89"/>
    </row>
    <row r="202" spans="1:58" s="25" customFormat="1" x14ac:dyDescent="0.3">
      <c r="A202" s="19"/>
      <c r="B202" s="19"/>
      <c r="C202" s="50"/>
      <c r="D202" s="50"/>
      <c r="E202" s="50"/>
      <c r="F202" s="51"/>
      <c r="G202" s="57"/>
      <c r="H202" s="51"/>
      <c r="I202" s="52"/>
      <c r="J202" s="20"/>
      <c r="K202" s="21"/>
      <c r="L202" s="21"/>
      <c r="M202" s="46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59"/>
      <c r="AM202" s="23"/>
      <c r="AN202" s="23"/>
      <c r="AO202" s="24"/>
      <c r="AQ202" s="35"/>
      <c r="AR202" s="35"/>
      <c r="AS202" s="35"/>
      <c r="AT202" s="35"/>
      <c r="AU202" s="35"/>
      <c r="AV202" s="35"/>
      <c r="AW202" s="35"/>
      <c r="AX202" s="35"/>
      <c r="AY202" s="35"/>
      <c r="BA202" s="35"/>
      <c r="BC202" s="56"/>
      <c r="BD202" s="55"/>
      <c r="BF202" s="89"/>
    </row>
    <row r="203" spans="1:58" s="25" customFormat="1" x14ac:dyDescent="0.3">
      <c r="A203" s="19"/>
      <c r="B203" s="19"/>
      <c r="C203" s="50"/>
      <c r="D203" s="50"/>
      <c r="E203" s="50"/>
      <c r="F203" s="51"/>
      <c r="G203" s="57"/>
      <c r="H203" s="51"/>
      <c r="I203" s="52"/>
      <c r="J203" s="20"/>
      <c r="K203" s="21"/>
      <c r="L203" s="21"/>
      <c r="M203" s="46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59"/>
      <c r="AM203" s="23"/>
      <c r="AN203" s="23"/>
      <c r="AO203" s="24"/>
      <c r="AQ203" s="35"/>
      <c r="AR203" s="35"/>
      <c r="AS203" s="35"/>
      <c r="AT203" s="35"/>
      <c r="AU203" s="35"/>
      <c r="AV203" s="35"/>
      <c r="AW203" s="35"/>
      <c r="AX203" s="35"/>
      <c r="AY203" s="35"/>
      <c r="BA203" s="35"/>
      <c r="BC203" s="56"/>
      <c r="BD203" s="55"/>
      <c r="BF203" s="89"/>
    </row>
    <row r="204" spans="1:58" s="25" customFormat="1" x14ac:dyDescent="0.3">
      <c r="A204" s="19"/>
      <c r="B204" s="19"/>
      <c r="C204" s="50"/>
      <c r="D204" s="50"/>
      <c r="E204" s="50"/>
      <c r="F204" s="51"/>
      <c r="G204" s="57"/>
      <c r="H204" s="51"/>
      <c r="I204" s="52"/>
      <c r="J204" s="20"/>
      <c r="K204" s="21"/>
      <c r="L204" s="21"/>
      <c r="M204" s="46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59"/>
      <c r="AM204" s="23"/>
      <c r="AN204" s="23"/>
      <c r="AO204" s="24"/>
      <c r="AQ204" s="35"/>
      <c r="AR204" s="35"/>
      <c r="AS204" s="35"/>
      <c r="AT204" s="35"/>
      <c r="AU204" s="35"/>
      <c r="AV204" s="35"/>
      <c r="AW204" s="35"/>
      <c r="AX204" s="35"/>
      <c r="AY204" s="35"/>
      <c r="BA204" s="35"/>
      <c r="BC204" s="56"/>
      <c r="BD204" s="55"/>
      <c r="BF204" s="89"/>
    </row>
    <row r="205" spans="1:58" s="25" customFormat="1" x14ac:dyDescent="0.3">
      <c r="A205" s="19"/>
      <c r="B205" s="19"/>
      <c r="C205" s="50"/>
      <c r="D205" s="50"/>
      <c r="E205" s="50"/>
      <c r="F205" s="51"/>
      <c r="G205" s="57"/>
      <c r="H205" s="51"/>
      <c r="I205" s="52"/>
      <c r="J205" s="20"/>
      <c r="K205" s="21"/>
      <c r="L205" s="21"/>
      <c r="M205" s="46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59"/>
      <c r="AM205" s="23"/>
      <c r="AN205" s="23"/>
      <c r="AO205" s="24"/>
      <c r="AQ205" s="35"/>
      <c r="AR205" s="35"/>
      <c r="AS205" s="35"/>
      <c r="AT205" s="35"/>
      <c r="AU205" s="35"/>
      <c r="AV205" s="35"/>
      <c r="AW205" s="35"/>
      <c r="AX205" s="35"/>
      <c r="AY205" s="35"/>
      <c r="BA205" s="35"/>
      <c r="BC205" s="56"/>
      <c r="BD205" s="55"/>
      <c r="BF205" s="89"/>
    </row>
    <row r="206" spans="1:58" s="25" customFormat="1" x14ac:dyDescent="0.3">
      <c r="A206" s="19"/>
      <c r="B206" s="19"/>
      <c r="C206" s="50"/>
      <c r="D206" s="50"/>
      <c r="E206" s="50"/>
      <c r="F206" s="51"/>
      <c r="G206" s="57"/>
      <c r="H206" s="51"/>
      <c r="I206" s="52"/>
      <c r="J206" s="20"/>
      <c r="K206" s="21"/>
      <c r="L206" s="21"/>
      <c r="M206" s="46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59"/>
      <c r="AM206" s="23"/>
      <c r="AN206" s="23"/>
      <c r="AO206" s="24"/>
      <c r="AQ206" s="35"/>
      <c r="AR206" s="35"/>
      <c r="AS206" s="35"/>
      <c r="AT206" s="35"/>
      <c r="AU206" s="35"/>
      <c r="AV206" s="35"/>
      <c r="AW206" s="35"/>
      <c r="AX206" s="35"/>
      <c r="AY206" s="35"/>
      <c r="BA206" s="35"/>
      <c r="BC206" s="56"/>
      <c r="BD206" s="55"/>
      <c r="BF206" s="89"/>
    </row>
    <row r="207" spans="1:58" s="25" customFormat="1" x14ac:dyDescent="0.3">
      <c r="A207" s="19"/>
      <c r="B207" s="19"/>
      <c r="C207" s="50"/>
      <c r="D207" s="50"/>
      <c r="E207" s="50"/>
      <c r="F207" s="51"/>
      <c r="G207" s="57"/>
      <c r="H207" s="51"/>
      <c r="I207" s="52"/>
      <c r="J207" s="20"/>
      <c r="K207" s="21"/>
      <c r="L207" s="21"/>
      <c r="M207" s="46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59"/>
      <c r="AM207" s="23"/>
      <c r="AN207" s="23"/>
      <c r="AO207" s="24"/>
      <c r="AQ207" s="35"/>
      <c r="AR207" s="35"/>
      <c r="AS207" s="35"/>
      <c r="AT207" s="35"/>
      <c r="AU207" s="35"/>
      <c r="AV207" s="35"/>
      <c r="AW207" s="35"/>
      <c r="AX207" s="35"/>
      <c r="AY207" s="35"/>
      <c r="BA207" s="35"/>
      <c r="BC207" s="56"/>
      <c r="BD207" s="55"/>
      <c r="BF207" s="89"/>
    </row>
    <row r="208" spans="1:58" s="25" customFormat="1" x14ac:dyDescent="0.3">
      <c r="A208" s="19"/>
      <c r="B208" s="19"/>
      <c r="C208" s="50"/>
      <c r="D208" s="50"/>
      <c r="E208" s="50"/>
      <c r="F208" s="51"/>
      <c r="G208" s="57"/>
      <c r="H208" s="51"/>
      <c r="I208" s="52"/>
      <c r="J208" s="20"/>
      <c r="K208" s="21"/>
      <c r="L208" s="21"/>
      <c r="M208" s="46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59"/>
      <c r="AM208" s="23"/>
      <c r="AN208" s="23"/>
      <c r="AO208" s="24"/>
      <c r="AQ208" s="35"/>
      <c r="AR208" s="35"/>
      <c r="AS208" s="35"/>
      <c r="AT208" s="35"/>
      <c r="AU208" s="35"/>
      <c r="AV208" s="35"/>
      <c r="AW208" s="35"/>
      <c r="AX208" s="35"/>
      <c r="AY208" s="35"/>
      <c r="BA208" s="35"/>
      <c r="BC208" s="56"/>
      <c r="BD208" s="55"/>
      <c r="BF208" s="89"/>
    </row>
    <row r="209" spans="1:58" s="25" customFormat="1" x14ac:dyDescent="0.3">
      <c r="A209" s="19"/>
      <c r="B209" s="19"/>
      <c r="C209" s="50"/>
      <c r="D209" s="50"/>
      <c r="E209" s="50"/>
      <c r="F209" s="51"/>
      <c r="G209" s="57"/>
      <c r="H209" s="51"/>
      <c r="I209" s="52"/>
      <c r="J209" s="20"/>
      <c r="K209" s="21"/>
      <c r="L209" s="21"/>
      <c r="M209" s="46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59"/>
      <c r="AM209" s="23"/>
      <c r="AN209" s="23"/>
      <c r="AO209" s="24"/>
      <c r="AQ209" s="35"/>
      <c r="AR209" s="35"/>
      <c r="AS209" s="35"/>
      <c r="AT209" s="35"/>
      <c r="AU209" s="35"/>
      <c r="AV209" s="35"/>
      <c r="AW209" s="35"/>
      <c r="AX209" s="35"/>
      <c r="AY209" s="35"/>
      <c r="BA209" s="35"/>
      <c r="BC209" s="56"/>
      <c r="BD209" s="55"/>
      <c r="BF209" s="89"/>
    </row>
    <row r="210" spans="1:58" s="25" customFormat="1" x14ac:dyDescent="0.3">
      <c r="A210" s="19"/>
      <c r="B210" s="19"/>
      <c r="C210" s="50"/>
      <c r="D210" s="50"/>
      <c r="E210" s="50"/>
      <c r="F210" s="51"/>
      <c r="G210" s="57"/>
      <c r="H210" s="51"/>
      <c r="I210" s="52"/>
      <c r="J210" s="20"/>
      <c r="K210" s="21"/>
      <c r="L210" s="21"/>
      <c r="M210" s="46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59"/>
      <c r="AM210" s="23"/>
      <c r="AN210" s="23"/>
      <c r="AO210" s="24"/>
      <c r="AQ210" s="35"/>
      <c r="AR210" s="35"/>
      <c r="AS210" s="35"/>
      <c r="AT210" s="35"/>
      <c r="AU210" s="35"/>
      <c r="AV210" s="35"/>
      <c r="AW210" s="35"/>
      <c r="AX210" s="35"/>
      <c r="AY210" s="35"/>
      <c r="BA210" s="35"/>
      <c r="BC210" s="56"/>
      <c r="BD210" s="55"/>
      <c r="BF210" s="89"/>
    </row>
    <row r="211" spans="1:58" s="25" customFormat="1" x14ac:dyDescent="0.3">
      <c r="A211" s="19"/>
      <c r="B211" s="19"/>
      <c r="C211" s="50"/>
      <c r="D211" s="50"/>
      <c r="E211" s="50"/>
      <c r="F211" s="51"/>
      <c r="G211" s="57"/>
      <c r="H211" s="51"/>
      <c r="I211" s="52"/>
      <c r="J211" s="20"/>
      <c r="K211" s="21"/>
      <c r="L211" s="21"/>
      <c r="M211" s="46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59"/>
      <c r="AM211" s="23"/>
      <c r="AN211" s="23"/>
      <c r="AO211" s="24"/>
      <c r="AQ211" s="35"/>
      <c r="AR211" s="35"/>
      <c r="AS211" s="35"/>
      <c r="AT211" s="35"/>
      <c r="AU211" s="35"/>
      <c r="AV211" s="35"/>
      <c r="AW211" s="35"/>
      <c r="AX211" s="35"/>
      <c r="AY211" s="35"/>
      <c r="BA211" s="35"/>
      <c r="BC211" s="56"/>
      <c r="BD211" s="55"/>
      <c r="BF211" s="89"/>
    </row>
    <row r="212" spans="1:58" s="25" customFormat="1" x14ac:dyDescent="0.3">
      <c r="A212" s="19"/>
      <c r="B212" s="19"/>
      <c r="C212" s="50"/>
      <c r="D212" s="50"/>
      <c r="E212" s="50"/>
      <c r="F212" s="51"/>
      <c r="G212" s="57"/>
      <c r="H212" s="51"/>
      <c r="I212" s="52"/>
      <c r="J212" s="20"/>
      <c r="K212" s="21"/>
      <c r="L212" s="21"/>
      <c r="M212" s="46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59"/>
      <c r="AM212" s="23"/>
      <c r="AN212" s="23"/>
      <c r="AO212" s="24"/>
      <c r="AQ212" s="35"/>
      <c r="AR212" s="35"/>
      <c r="AS212" s="35"/>
      <c r="AT212" s="35"/>
      <c r="AU212" s="35"/>
      <c r="AV212" s="35"/>
      <c r="AW212" s="35"/>
      <c r="AX212" s="35"/>
      <c r="AY212" s="35"/>
      <c r="BA212" s="35"/>
      <c r="BC212" s="56"/>
      <c r="BD212" s="55"/>
      <c r="BF212" s="89"/>
    </row>
    <row r="213" spans="1:58" s="25" customFormat="1" x14ac:dyDescent="0.3">
      <c r="A213" s="19"/>
      <c r="B213" s="19"/>
      <c r="C213" s="50"/>
      <c r="D213" s="50"/>
      <c r="E213" s="50"/>
      <c r="F213" s="51"/>
      <c r="G213" s="57"/>
      <c r="H213" s="51"/>
      <c r="I213" s="52"/>
      <c r="J213" s="20"/>
      <c r="K213" s="21"/>
      <c r="L213" s="21"/>
      <c r="M213" s="46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59"/>
      <c r="AM213" s="23"/>
      <c r="AN213" s="23"/>
      <c r="AO213" s="24"/>
      <c r="AQ213" s="35"/>
      <c r="AR213" s="35"/>
      <c r="AS213" s="35"/>
      <c r="AT213" s="35"/>
      <c r="AU213" s="35"/>
      <c r="AV213" s="35"/>
      <c r="AW213" s="35"/>
      <c r="AX213" s="35"/>
      <c r="AY213" s="35"/>
      <c r="BA213" s="35"/>
      <c r="BC213" s="56"/>
      <c r="BD213" s="55"/>
      <c r="BF213" s="89"/>
    </row>
    <row r="214" spans="1:58" s="25" customFormat="1" x14ac:dyDescent="0.3">
      <c r="A214" s="19"/>
      <c r="B214" s="19"/>
      <c r="C214" s="50"/>
      <c r="D214" s="50"/>
      <c r="E214" s="50"/>
      <c r="F214" s="51"/>
      <c r="G214" s="57"/>
      <c r="H214" s="51"/>
      <c r="I214" s="52"/>
      <c r="J214" s="20"/>
      <c r="K214" s="21"/>
      <c r="L214" s="21"/>
      <c r="M214" s="46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59"/>
      <c r="AM214" s="23"/>
      <c r="AN214" s="23"/>
      <c r="AO214" s="24"/>
      <c r="AQ214" s="35"/>
      <c r="AR214" s="35"/>
      <c r="AS214" s="35"/>
      <c r="AT214" s="35"/>
      <c r="AU214" s="35"/>
      <c r="AV214" s="35"/>
      <c r="AW214" s="35"/>
      <c r="AX214" s="35"/>
      <c r="AY214" s="35"/>
      <c r="BA214" s="35"/>
      <c r="BC214" s="56"/>
      <c r="BD214" s="55"/>
      <c r="BF214" s="89"/>
    </row>
    <row r="215" spans="1:58" s="25" customFormat="1" x14ac:dyDescent="0.3">
      <c r="A215" s="19"/>
      <c r="B215" s="19"/>
      <c r="C215" s="50"/>
      <c r="D215" s="50"/>
      <c r="E215" s="50"/>
      <c r="F215" s="51"/>
      <c r="G215" s="57"/>
      <c r="H215" s="51"/>
      <c r="I215" s="52"/>
      <c r="J215" s="20"/>
      <c r="K215" s="21"/>
      <c r="L215" s="21"/>
      <c r="M215" s="46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59"/>
      <c r="AM215" s="23"/>
      <c r="AN215" s="23"/>
      <c r="AO215" s="24"/>
      <c r="AQ215" s="35"/>
      <c r="AR215" s="35"/>
      <c r="AS215" s="35"/>
      <c r="AT215" s="35"/>
      <c r="AU215" s="35"/>
      <c r="AV215" s="35"/>
      <c r="AW215" s="35"/>
      <c r="AX215" s="35"/>
      <c r="AY215" s="35"/>
      <c r="BA215" s="35"/>
      <c r="BC215" s="56"/>
      <c r="BD215" s="55"/>
      <c r="BF215" s="89"/>
    </row>
    <row r="216" spans="1:58" s="25" customFormat="1" x14ac:dyDescent="0.3">
      <c r="A216" s="19"/>
      <c r="B216" s="19"/>
      <c r="C216" s="50"/>
      <c r="D216" s="50"/>
      <c r="E216" s="50"/>
      <c r="F216" s="51"/>
      <c r="G216" s="57"/>
      <c r="H216" s="51"/>
      <c r="I216" s="52"/>
      <c r="J216" s="20"/>
      <c r="K216" s="21"/>
      <c r="L216" s="21"/>
      <c r="M216" s="46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59"/>
      <c r="AM216" s="23"/>
      <c r="AN216" s="23"/>
      <c r="AO216" s="24"/>
      <c r="AQ216" s="35"/>
      <c r="AR216" s="35"/>
      <c r="AS216" s="35"/>
      <c r="AT216" s="35"/>
      <c r="AU216" s="35"/>
      <c r="AV216" s="35"/>
      <c r="AW216" s="35"/>
      <c r="AX216" s="35"/>
      <c r="AY216" s="35"/>
      <c r="BA216" s="35"/>
      <c r="BC216" s="56"/>
      <c r="BD216" s="55"/>
      <c r="BF216" s="89"/>
    </row>
    <row r="217" spans="1:58" s="25" customFormat="1" x14ac:dyDescent="0.3">
      <c r="A217" s="19"/>
      <c r="B217" s="19"/>
      <c r="C217" s="50"/>
      <c r="D217" s="50"/>
      <c r="E217" s="50"/>
      <c r="F217" s="51"/>
      <c r="G217" s="57"/>
      <c r="H217" s="51"/>
      <c r="I217" s="52"/>
      <c r="J217" s="20"/>
      <c r="K217" s="21"/>
      <c r="L217" s="21"/>
      <c r="M217" s="46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59"/>
      <c r="AM217" s="23"/>
      <c r="AN217" s="23"/>
      <c r="AO217" s="24"/>
      <c r="AQ217" s="35"/>
      <c r="AR217" s="35"/>
      <c r="AS217" s="35"/>
      <c r="AT217" s="35"/>
      <c r="AU217" s="35"/>
      <c r="AV217" s="35"/>
      <c r="AW217" s="35"/>
      <c r="AX217" s="35"/>
      <c r="AY217" s="35"/>
      <c r="BA217" s="35"/>
      <c r="BC217" s="56"/>
      <c r="BD217" s="55"/>
      <c r="BF217" s="89"/>
    </row>
    <row r="218" spans="1:58" s="25" customFormat="1" x14ac:dyDescent="0.3">
      <c r="A218" s="19"/>
      <c r="B218" s="19"/>
      <c r="C218" s="50"/>
      <c r="D218" s="50"/>
      <c r="E218" s="50"/>
      <c r="F218" s="51"/>
      <c r="G218" s="57"/>
      <c r="H218" s="51"/>
      <c r="I218" s="52"/>
      <c r="J218" s="20"/>
      <c r="K218" s="21"/>
      <c r="L218" s="21"/>
      <c r="M218" s="46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59"/>
      <c r="AM218" s="23"/>
      <c r="AN218" s="23"/>
      <c r="AO218" s="24"/>
      <c r="AQ218" s="35"/>
      <c r="AR218" s="35"/>
      <c r="AS218" s="35"/>
      <c r="AT218" s="35"/>
      <c r="AU218" s="35"/>
      <c r="AV218" s="35"/>
      <c r="AW218" s="35"/>
      <c r="AX218" s="35"/>
      <c r="AY218" s="35"/>
      <c r="BA218" s="35"/>
      <c r="BC218" s="56"/>
      <c r="BD218" s="55"/>
      <c r="BF218" s="89"/>
    </row>
    <row r="219" spans="1:58" s="25" customFormat="1" x14ac:dyDescent="0.3">
      <c r="A219" s="19"/>
      <c r="B219" s="19"/>
      <c r="C219" s="50"/>
      <c r="D219" s="50"/>
      <c r="E219" s="50"/>
      <c r="F219" s="51"/>
      <c r="G219" s="57"/>
      <c r="H219" s="51"/>
      <c r="I219" s="52"/>
      <c r="J219" s="20"/>
      <c r="K219" s="21"/>
      <c r="L219" s="21"/>
      <c r="M219" s="46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59"/>
      <c r="AM219" s="23"/>
      <c r="AN219" s="23"/>
      <c r="AO219" s="24"/>
      <c r="AQ219" s="35"/>
      <c r="AR219" s="35"/>
      <c r="AS219" s="35"/>
      <c r="AT219" s="35"/>
      <c r="AU219" s="35"/>
      <c r="AV219" s="35"/>
      <c r="AW219" s="35"/>
      <c r="AX219" s="35"/>
      <c r="AY219" s="35"/>
      <c r="BA219" s="35"/>
      <c r="BC219" s="56"/>
      <c r="BD219" s="55"/>
      <c r="BF219" s="89"/>
    </row>
    <row r="220" spans="1:58" s="25" customFormat="1" x14ac:dyDescent="0.3">
      <c r="A220" s="19"/>
      <c r="B220" s="19"/>
      <c r="C220" s="50"/>
      <c r="D220" s="50"/>
      <c r="E220" s="50"/>
      <c r="F220" s="51"/>
      <c r="G220" s="57"/>
      <c r="H220" s="51"/>
      <c r="I220" s="52"/>
      <c r="J220" s="20"/>
      <c r="K220" s="21"/>
      <c r="L220" s="21"/>
      <c r="M220" s="46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59"/>
      <c r="AM220" s="23"/>
      <c r="AN220" s="23"/>
      <c r="AO220" s="24"/>
      <c r="AQ220" s="35"/>
      <c r="AR220" s="35"/>
      <c r="AS220" s="35"/>
      <c r="AT220" s="35"/>
      <c r="AU220" s="35"/>
      <c r="AV220" s="35"/>
      <c r="AW220" s="35"/>
      <c r="AX220" s="35"/>
      <c r="AY220" s="35"/>
      <c r="BA220" s="35"/>
      <c r="BC220" s="56"/>
      <c r="BD220" s="55"/>
      <c r="BF220" s="89"/>
    </row>
    <row r="221" spans="1:58" s="25" customFormat="1" x14ac:dyDescent="0.3">
      <c r="A221" s="19"/>
      <c r="B221" s="19"/>
      <c r="C221" s="50"/>
      <c r="D221" s="50"/>
      <c r="E221" s="50"/>
      <c r="F221" s="51"/>
      <c r="G221" s="57"/>
      <c r="H221" s="51"/>
      <c r="I221" s="52"/>
      <c r="J221" s="20"/>
      <c r="K221" s="21"/>
      <c r="L221" s="21"/>
      <c r="M221" s="46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59"/>
      <c r="AM221" s="23"/>
      <c r="AN221" s="23"/>
      <c r="AO221" s="24"/>
      <c r="AQ221" s="35"/>
      <c r="AR221" s="35"/>
      <c r="AS221" s="35"/>
      <c r="AT221" s="35"/>
      <c r="AU221" s="35"/>
      <c r="AV221" s="35"/>
      <c r="AW221" s="35"/>
      <c r="AX221" s="35"/>
      <c r="AY221" s="35"/>
      <c r="BA221" s="35"/>
      <c r="BC221" s="56"/>
      <c r="BD221" s="55"/>
      <c r="BF221" s="89"/>
    </row>
    <row r="222" spans="1:58" s="25" customFormat="1" x14ac:dyDescent="0.3">
      <c r="A222" s="19"/>
      <c r="B222" s="19"/>
      <c r="C222" s="50"/>
      <c r="D222" s="50"/>
      <c r="E222" s="50"/>
      <c r="F222" s="51"/>
      <c r="G222" s="57"/>
      <c r="H222" s="51"/>
      <c r="I222" s="52"/>
      <c r="J222" s="20"/>
      <c r="K222" s="21"/>
      <c r="L222" s="21"/>
      <c r="M222" s="46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59"/>
      <c r="AM222" s="23"/>
      <c r="AN222" s="23"/>
      <c r="AO222" s="24"/>
      <c r="AQ222" s="35"/>
      <c r="AR222" s="35"/>
      <c r="AS222" s="35"/>
      <c r="AT222" s="35"/>
      <c r="AU222" s="35"/>
      <c r="AV222" s="35"/>
      <c r="AW222" s="35"/>
      <c r="AX222" s="35"/>
      <c r="AY222" s="35"/>
      <c r="BA222" s="35"/>
      <c r="BC222" s="56"/>
      <c r="BD222" s="55"/>
      <c r="BF222" s="89"/>
    </row>
    <row r="223" spans="1:58" s="25" customFormat="1" x14ac:dyDescent="0.3">
      <c r="A223" s="19"/>
      <c r="B223" s="19"/>
      <c r="C223" s="50"/>
      <c r="D223" s="50"/>
      <c r="E223" s="50"/>
      <c r="F223" s="51"/>
      <c r="G223" s="57"/>
      <c r="H223" s="51"/>
      <c r="I223" s="52"/>
      <c r="J223" s="20"/>
      <c r="K223" s="21"/>
      <c r="L223" s="21"/>
      <c r="M223" s="46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59"/>
      <c r="AM223" s="23"/>
      <c r="AN223" s="23"/>
      <c r="AO223" s="24"/>
      <c r="AQ223" s="35"/>
      <c r="AR223" s="35"/>
      <c r="AS223" s="35"/>
      <c r="AT223" s="35"/>
      <c r="AU223" s="35"/>
      <c r="AV223" s="35"/>
      <c r="AW223" s="35"/>
      <c r="AX223" s="35"/>
      <c r="AY223" s="35"/>
      <c r="BA223" s="35"/>
      <c r="BC223" s="56"/>
      <c r="BD223" s="55"/>
      <c r="BF223" s="89"/>
    </row>
    <row r="224" spans="1:58" s="25" customFormat="1" x14ac:dyDescent="0.3">
      <c r="A224" s="19"/>
      <c r="B224" s="19"/>
      <c r="C224" s="50"/>
      <c r="D224" s="50"/>
      <c r="E224" s="50"/>
      <c r="F224" s="51"/>
      <c r="G224" s="57"/>
      <c r="H224" s="51"/>
      <c r="I224" s="52"/>
      <c r="J224" s="20"/>
      <c r="K224" s="21"/>
      <c r="L224" s="21"/>
      <c r="M224" s="46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59"/>
      <c r="AM224" s="23"/>
      <c r="AN224" s="23"/>
      <c r="AO224" s="24"/>
      <c r="AQ224" s="35"/>
      <c r="AR224" s="35"/>
      <c r="AS224" s="35"/>
      <c r="AT224" s="35"/>
      <c r="AU224" s="35"/>
      <c r="AV224" s="35"/>
      <c r="AW224" s="35"/>
      <c r="AX224" s="35"/>
      <c r="AY224" s="35"/>
      <c r="BA224" s="35"/>
      <c r="BC224" s="56"/>
      <c r="BD224" s="55"/>
      <c r="BF224" s="89"/>
    </row>
    <row r="225" spans="1:59" s="25" customFormat="1" x14ac:dyDescent="0.3">
      <c r="A225" s="19"/>
      <c r="B225" s="19"/>
      <c r="C225" s="50"/>
      <c r="D225" s="50"/>
      <c r="E225" s="50"/>
      <c r="F225" s="51"/>
      <c r="G225" s="57"/>
      <c r="H225" s="51"/>
      <c r="I225" s="52"/>
      <c r="J225" s="20"/>
      <c r="K225" s="21"/>
      <c r="L225" s="21"/>
      <c r="M225" s="46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59"/>
      <c r="AM225" s="23"/>
      <c r="AN225" s="23"/>
      <c r="AO225" s="24"/>
      <c r="AQ225" s="35"/>
      <c r="AR225" s="35"/>
      <c r="AS225" s="35"/>
      <c r="AT225" s="35"/>
      <c r="AU225" s="35"/>
      <c r="AV225" s="35"/>
      <c r="AW225" s="35"/>
      <c r="AX225" s="35"/>
      <c r="AY225" s="35"/>
      <c r="BA225" s="35"/>
      <c r="BC225" s="56"/>
      <c r="BD225" s="55"/>
      <c r="BF225" s="89"/>
    </row>
    <row r="226" spans="1:59" s="25" customFormat="1" x14ac:dyDescent="0.3">
      <c r="A226" s="19"/>
      <c r="B226" s="19"/>
      <c r="C226" s="50"/>
      <c r="D226" s="50"/>
      <c r="E226" s="50"/>
      <c r="F226" s="51"/>
      <c r="G226" s="57"/>
      <c r="H226" s="51"/>
      <c r="I226" s="52"/>
      <c r="J226" s="20"/>
      <c r="K226" s="21"/>
      <c r="L226" s="21"/>
      <c r="M226" s="46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59"/>
      <c r="AM226" s="23"/>
      <c r="AN226" s="23"/>
      <c r="AO226" s="24"/>
      <c r="AQ226" s="35"/>
      <c r="AR226" s="35"/>
      <c r="AS226" s="35"/>
      <c r="AT226" s="35"/>
      <c r="AU226" s="35"/>
      <c r="AV226" s="35"/>
      <c r="AW226" s="35"/>
      <c r="AX226" s="35"/>
      <c r="AY226" s="35"/>
      <c r="BA226" s="35"/>
      <c r="BC226" s="56"/>
      <c r="BD226" s="55"/>
      <c r="BF226" s="89"/>
    </row>
    <row r="227" spans="1:59" s="54" customFormat="1" x14ac:dyDescent="0.3">
      <c r="A227" s="19"/>
      <c r="B227" s="19"/>
      <c r="C227" s="50"/>
      <c r="D227" s="50"/>
      <c r="E227" s="50"/>
      <c r="F227" s="51"/>
      <c r="G227" s="57"/>
      <c r="H227" s="51"/>
      <c r="I227" s="52"/>
      <c r="J227" s="20"/>
      <c r="K227" s="21"/>
      <c r="L227" s="21"/>
      <c r="M227" s="46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59"/>
      <c r="AM227" s="23"/>
      <c r="AN227" s="23"/>
      <c r="AO227" s="24"/>
      <c r="AP227" s="25"/>
      <c r="AQ227" s="35"/>
      <c r="AR227" s="35"/>
      <c r="AS227" s="35"/>
      <c r="AT227" s="35"/>
      <c r="AU227" s="35"/>
      <c r="AV227" s="35"/>
      <c r="AW227" s="35"/>
      <c r="AX227" s="35"/>
      <c r="AY227" s="35"/>
      <c r="AZ227" s="25"/>
      <c r="BA227" s="35"/>
      <c r="BB227" s="25"/>
      <c r="BC227" s="56"/>
      <c r="BD227" s="55"/>
      <c r="BE227" s="25"/>
      <c r="BF227" s="89"/>
      <c r="BG227" s="25"/>
    </row>
    <row r="228" spans="1:59" s="25" customFormat="1" x14ac:dyDescent="0.3">
      <c r="A228" s="19"/>
      <c r="B228" s="19"/>
      <c r="C228" s="50"/>
      <c r="D228" s="50"/>
      <c r="E228" s="50"/>
      <c r="F228" s="51"/>
      <c r="G228" s="57"/>
      <c r="H228" s="51"/>
      <c r="I228" s="52"/>
      <c r="J228" s="20"/>
      <c r="K228" s="21"/>
      <c r="L228" s="21"/>
      <c r="M228" s="46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59"/>
      <c r="AM228" s="23"/>
      <c r="AN228" s="23"/>
      <c r="AO228" s="24"/>
      <c r="AQ228" s="35"/>
      <c r="AR228" s="35"/>
      <c r="AS228" s="35"/>
      <c r="AT228" s="35"/>
      <c r="AU228" s="35"/>
      <c r="AV228" s="35"/>
      <c r="AW228" s="35"/>
      <c r="AX228" s="35"/>
      <c r="AY228" s="35"/>
      <c r="BA228" s="35"/>
      <c r="BC228" s="56"/>
      <c r="BD228" s="55"/>
      <c r="BF228" s="89"/>
    </row>
    <row r="229" spans="1:59" s="25" customFormat="1" x14ac:dyDescent="0.3">
      <c r="A229" s="19"/>
      <c r="B229" s="19"/>
      <c r="C229" s="50"/>
      <c r="D229" s="50"/>
      <c r="E229" s="50"/>
      <c r="F229" s="51"/>
      <c r="G229" s="57"/>
      <c r="H229" s="51"/>
      <c r="I229" s="52"/>
      <c r="J229" s="20"/>
      <c r="K229" s="21"/>
      <c r="L229" s="21"/>
      <c r="M229" s="46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59"/>
      <c r="AM229" s="23"/>
      <c r="AN229" s="23"/>
      <c r="AO229" s="24"/>
      <c r="AQ229" s="35"/>
      <c r="AR229" s="35"/>
      <c r="AS229" s="35"/>
      <c r="AT229" s="35"/>
      <c r="AU229" s="35"/>
      <c r="AV229" s="35"/>
      <c r="AW229" s="35"/>
      <c r="AX229" s="35"/>
      <c r="AY229" s="35"/>
      <c r="BA229" s="35"/>
      <c r="BC229" s="56"/>
      <c r="BD229" s="55"/>
      <c r="BF229" s="89"/>
    </row>
    <row r="230" spans="1:59" s="25" customFormat="1" x14ac:dyDescent="0.3">
      <c r="A230" s="19"/>
      <c r="B230" s="19"/>
      <c r="C230" s="50"/>
      <c r="D230" s="50"/>
      <c r="E230" s="50"/>
      <c r="F230" s="51"/>
      <c r="G230" s="57"/>
      <c r="H230" s="51"/>
      <c r="I230" s="52"/>
      <c r="J230" s="20"/>
      <c r="K230" s="21"/>
      <c r="L230" s="21"/>
      <c r="M230" s="46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59"/>
      <c r="AM230" s="23"/>
      <c r="AN230" s="23"/>
      <c r="AO230" s="24"/>
      <c r="AQ230" s="35"/>
      <c r="AR230" s="35"/>
      <c r="AS230" s="35"/>
      <c r="AT230" s="35"/>
      <c r="AU230" s="35"/>
      <c r="AV230" s="35"/>
      <c r="AW230" s="35"/>
      <c r="AX230" s="35"/>
      <c r="AY230" s="35"/>
      <c r="BA230" s="35"/>
      <c r="BC230" s="56"/>
      <c r="BD230" s="55"/>
      <c r="BF230" s="89"/>
    </row>
    <row r="231" spans="1:59" s="25" customFormat="1" x14ac:dyDescent="0.3">
      <c r="A231" s="19"/>
      <c r="B231" s="19"/>
      <c r="C231" s="50"/>
      <c r="D231" s="50"/>
      <c r="E231" s="50"/>
      <c r="F231" s="51"/>
      <c r="G231" s="57"/>
      <c r="H231" s="51"/>
      <c r="I231" s="52"/>
      <c r="J231" s="20"/>
      <c r="K231" s="21"/>
      <c r="L231" s="21"/>
      <c r="M231" s="46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59"/>
      <c r="AM231" s="23"/>
      <c r="AN231" s="23"/>
      <c r="AO231" s="24"/>
      <c r="AQ231" s="35"/>
      <c r="AR231" s="35"/>
      <c r="AS231" s="35"/>
      <c r="AT231" s="35"/>
      <c r="AU231" s="35"/>
      <c r="AV231" s="35"/>
      <c r="AW231" s="35"/>
      <c r="AX231" s="35"/>
      <c r="AY231" s="35"/>
      <c r="BA231" s="35"/>
      <c r="BC231" s="56"/>
      <c r="BD231" s="55"/>
      <c r="BF231" s="89"/>
    </row>
    <row r="232" spans="1:59" s="25" customFormat="1" x14ac:dyDescent="0.3">
      <c r="A232" s="19"/>
      <c r="B232" s="19"/>
      <c r="C232" s="50"/>
      <c r="D232" s="50"/>
      <c r="E232" s="50"/>
      <c r="F232" s="51"/>
      <c r="G232" s="57"/>
      <c r="H232" s="51"/>
      <c r="I232" s="52"/>
      <c r="J232" s="20"/>
      <c r="K232" s="21"/>
      <c r="L232" s="21"/>
      <c r="M232" s="46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59"/>
      <c r="AM232" s="23"/>
      <c r="AN232" s="23"/>
      <c r="AO232" s="24"/>
      <c r="AQ232" s="35"/>
      <c r="AR232" s="35"/>
      <c r="AS232" s="35"/>
      <c r="AT232" s="35"/>
      <c r="AU232" s="35"/>
      <c r="AV232" s="35"/>
      <c r="AW232" s="35"/>
      <c r="AX232" s="35"/>
      <c r="AY232" s="35"/>
      <c r="BA232" s="35"/>
      <c r="BC232" s="56"/>
      <c r="BD232" s="55"/>
      <c r="BF232" s="89"/>
    </row>
    <row r="233" spans="1:59" s="25" customFormat="1" x14ac:dyDescent="0.3">
      <c r="A233" s="19"/>
      <c r="B233" s="19"/>
      <c r="C233" s="50"/>
      <c r="D233" s="50"/>
      <c r="E233" s="50"/>
      <c r="F233" s="51"/>
      <c r="G233" s="57"/>
      <c r="H233" s="51"/>
      <c r="I233" s="52"/>
      <c r="J233" s="20"/>
      <c r="K233" s="21"/>
      <c r="L233" s="21"/>
      <c r="M233" s="46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59"/>
      <c r="AM233" s="23"/>
      <c r="AN233" s="23"/>
      <c r="AO233" s="24"/>
      <c r="AQ233" s="35"/>
      <c r="AR233" s="35"/>
      <c r="AS233" s="35"/>
      <c r="AT233" s="35"/>
      <c r="AU233" s="35"/>
      <c r="AV233" s="35"/>
      <c r="AW233" s="35"/>
      <c r="AX233" s="35"/>
      <c r="AY233" s="35"/>
      <c r="BA233" s="35"/>
      <c r="BC233" s="56"/>
      <c r="BD233" s="55"/>
      <c r="BF233" s="89"/>
    </row>
    <row r="234" spans="1:59" s="54" customFormat="1" x14ac:dyDescent="0.3">
      <c r="A234" s="19"/>
      <c r="B234" s="19"/>
      <c r="C234" s="50"/>
      <c r="D234" s="50"/>
      <c r="E234" s="50"/>
      <c r="F234" s="51"/>
      <c r="G234" s="57"/>
      <c r="H234" s="51"/>
      <c r="I234" s="52"/>
      <c r="J234" s="20"/>
      <c r="K234" s="21"/>
      <c r="L234" s="21"/>
      <c r="M234" s="46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59"/>
      <c r="AM234" s="23"/>
      <c r="AN234" s="23"/>
      <c r="AO234" s="24"/>
      <c r="AP234" s="25"/>
      <c r="AQ234" s="35"/>
      <c r="AR234" s="35"/>
      <c r="AS234" s="35"/>
      <c r="AT234" s="35"/>
      <c r="AU234" s="35"/>
      <c r="AV234" s="35"/>
      <c r="AW234" s="35"/>
      <c r="AX234" s="35"/>
      <c r="AY234" s="35"/>
      <c r="AZ234" s="25"/>
      <c r="BA234" s="35"/>
      <c r="BB234" s="25"/>
      <c r="BC234" s="56"/>
      <c r="BD234" s="55"/>
      <c r="BE234" s="25"/>
      <c r="BF234" s="89"/>
      <c r="BG234" s="25"/>
    </row>
    <row r="235" spans="1:59" s="25" customFormat="1" x14ac:dyDescent="0.3">
      <c r="A235" s="19"/>
      <c r="B235" s="19"/>
      <c r="C235" s="50"/>
      <c r="D235" s="50"/>
      <c r="E235" s="50"/>
      <c r="F235" s="51"/>
      <c r="G235" s="57"/>
      <c r="H235" s="51"/>
      <c r="I235" s="52"/>
      <c r="J235" s="20"/>
      <c r="K235" s="21"/>
      <c r="L235" s="21"/>
      <c r="M235" s="46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59"/>
      <c r="AM235" s="23"/>
      <c r="AN235" s="23"/>
      <c r="AO235" s="24"/>
      <c r="AQ235" s="35"/>
      <c r="AR235" s="35"/>
      <c r="AS235" s="35"/>
      <c r="AT235" s="35"/>
      <c r="AU235" s="35"/>
      <c r="AV235" s="35"/>
      <c r="AW235" s="35"/>
      <c r="AX235" s="35"/>
      <c r="AY235" s="35"/>
      <c r="BA235" s="35"/>
      <c r="BC235" s="56"/>
      <c r="BD235" s="55"/>
      <c r="BF235" s="89"/>
    </row>
    <row r="236" spans="1:59" s="25" customFormat="1" x14ac:dyDescent="0.3">
      <c r="A236" s="19"/>
      <c r="B236" s="19"/>
      <c r="C236" s="50"/>
      <c r="D236" s="50"/>
      <c r="E236" s="50"/>
      <c r="F236" s="51"/>
      <c r="G236" s="57"/>
      <c r="H236" s="51"/>
      <c r="I236" s="52"/>
      <c r="J236" s="20"/>
      <c r="K236" s="21"/>
      <c r="L236" s="21"/>
      <c r="M236" s="46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59"/>
      <c r="AM236" s="23"/>
      <c r="AN236" s="23"/>
      <c r="AO236" s="24"/>
      <c r="AQ236" s="35"/>
      <c r="AR236" s="35"/>
      <c r="AS236" s="35"/>
      <c r="AT236" s="35"/>
      <c r="AU236" s="35"/>
      <c r="AV236" s="35"/>
      <c r="AW236" s="35"/>
      <c r="AX236" s="35"/>
      <c r="AY236" s="35"/>
      <c r="BA236" s="35"/>
      <c r="BC236" s="56"/>
      <c r="BD236" s="55"/>
      <c r="BF236" s="89"/>
    </row>
    <row r="237" spans="1:59" s="25" customFormat="1" x14ac:dyDescent="0.3">
      <c r="A237" s="19"/>
      <c r="B237" s="19"/>
      <c r="C237" s="50"/>
      <c r="D237" s="50"/>
      <c r="E237" s="50"/>
      <c r="F237" s="51"/>
      <c r="G237" s="57"/>
      <c r="H237" s="51"/>
      <c r="I237" s="52"/>
      <c r="J237" s="20"/>
      <c r="K237" s="21"/>
      <c r="L237" s="21"/>
      <c r="M237" s="46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59"/>
      <c r="AM237" s="23"/>
      <c r="AN237" s="23"/>
      <c r="AO237" s="24"/>
      <c r="AQ237" s="35"/>
      <c r="AR237" s="35"/>
      <c r="AS237" s="35"/>
      <c r="AT237" s="35"/>
      <c r="AU237" s="35"/>
      <c r="AV237" s="35"/>
      <c r="AW237" s="35"/>
      <c r="AX237" s="35"/>
      <c r="AY237" s="35"/>
      <c r="BA237" s="35"/>
      <c r="BC237" s="56"/>
      <c r="BD237" s="55"/>
      <c r="BF237" s="89"/>
    </row>
    <row r="238" spans="1:59" s="25" customFormat="1" x14ac:dyDescent="0.3">
      <c r="A238" s="19"/>
      <c r="B238" s="19"/>
      <c r="C238" s="50"/>
      <c r="D238" s="50"/>
      <c r="E238" s="50"/>
      <c r="F238" s="51"/>
      <c r="G238" s="57"/>
      <c r="H238" s="51"/>
      <c r="I238" s="52"/>
      <c r="J238" s="20"/>
      <c r="K238" s="21"/>
      <c r="L238" s="21"/>
      <c r="M238" s="46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59"/>
      <c r="AM238" s="23"/>
      <c r="AN238" s="23"/>
      <c r="AO238" s="24"/>
      <c r="AQ238" s="35"/>
      <c r="AR238" s="35"/>
      <c r="AS238" s="35"/>
      <c r="AT238" s="35"/>
      <c r="AU238" s="35"/>
      <c r="AV238" s="35"/>
      <c r="AW238" s="35"/>
      <c r="AX238" s="35"/>
      <c r="AY238" s="35"/>
      <c r="BA238" s="35"/>
      <c r="BC238" s="56"/>
      <c r="BD238" s="55"/>
      <c r="BF238" s="89"/>
    </row>
    <row r="239" spans="1:59" s="25" customFormat="1" x14ac:dyDescent="0.3">
      <c r="A239" s="19"/>
      <c r="B239" s="19"/>
      <c r="C239" s="50"/>
      <c r="D239" s="50"/>
      <c r="E239" s="50"/>
      <c r="F239" s="51"/>
      <c r="G239" s="57"/>
      <c r="H239" s="51"/>
      <c r="I239" s="52"/>
      <c r="J239" s="20"/>
      <c r="K239" s="21"/>
      <c r="L239" s="21"/>
      <c r="M239" s="46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59"/>
      <c r="AM239" s="23"/>
      <c r="AN239" s="23"/>
      <c r="AO239" s="24"/>
      <c r="AQ239" s="35"/>
      <c r="AR239" s="35"/>
      <c r="AS239" s="35"/>
      <c r="AT239" s="35"/>
      <c r="AU239" s="35"/>
      <c r="AV239" s="35"/>
      <c r="AW239" s="35"/>
      <c r="AX239" s="35"/>
      <c r="AY239" s="35"/>
      <c r="BA239" s="35"/>
      <c r="BC239" s="56"/>
      <c r="BD239" s="55"/>
      <c r="BF239" s="89"/>
    </row>
    <row r="240" spans="1:59" s="25" customFormat="1" x14ac:dyDescent="0.3">
      <c r="A240" s="19"/>
      <c r="B240" s="19"/>
      <c r="C240" s="50"/>
      <c r="D240" s="50"/>
      <c r="E240" s="50"/>
      <c r="F240" s="51"/>
      <c r="G240" s="57"/>
      <c r="H240" s="51"/>
      <c r="I240" s="52"/>
      <c r="J240" s="20"/>
      <c r="K240" s="21"/>
      <c r="L240" s="21"/>
      <c r="M240" s="46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59"/>
      <c r="AM240" s="23"/>
      <c r="AN240" s="23"/>
      <c r="AO240" s="24"/>
      <c r="AQ240" s="35"/>
      <c r="AR240" s="35"/>
      <c r="AS240" s="35"/>
      <c r="AT240" s="35"/>
      <c r="AU240" s="35"/>
      <c r="AV240" s="35"/>
      <c r="AW240" s="35"/>
      <c r="AX240" s="35"/>
      <c r="AY240" s="35"/>
      <c r="BA240" s="35"/>
      <c r="BC240" s="56"/>
      <c r="BD240" s="55"/>
      <c r="BF240" s="89"/>
    </row>
    <row r="241" spans="1:58" s="25" customFormat="1" x14ac:dyDescent="0.3">
      <c r="A241" s="19"/>
      <c r="B241" s="19"/>
      <c r="C241" s="50"/>
      <c r="D241" s="50"/>
      <c r="E241" s="50"/>
      <c r="F241" s="51"/>
      <c r="G241" s="57"/>
      <c r="H241" s="51"/>
      <c r="I241" s="52"/>
      <c r="J241" s="20"/>
      <c r="K241" s="21"/>
      <c r="L241" s="21"/>
      <c r="M241" s="46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59"/>
      <c r="AM241" s="23"/>
      <c r="AN241" s="23"/>
      <c r="AO241" s="24"/>
      <c r="AQ241" s="35"/>
      <c r="AR241" s="35"/>
      <c r="AS241" s="35"/>
      <c r="AT241" s="35"/>
      <c r="AU241" s="35"/>
      <c r="AV241" s="35"/>
      <c r="AW241" s="35"/>
      <c r="AX241" s="35"/>
      <c r="AY241" s="35"/>
      <c r="BA241" s="35"/>
      <c r="BC241" s="56"/>
      <c r="BD241" s="55"/>
      <c r="BF241" s="89"/>
    </row>
    <row r="242" spans="1:58" s="25" customFormat="1" x14ac:dyDescent="0.3">
      <c r="A242" s="19"/>
      <c r="B242" s="19"/>
      <c r="C242" s="50"/>
      <c r="D242" s="50"/>
      <c r="E242" s="50"/>
      <c r="F242" s="51"/>
      <c r="G242" s="57"/>
      <c r="H242" s="51"/>
      <c r="I242" s="52"/>
      <c r="J242" s="20"/>
      <c r="K242" s="21"/>
      <c r="L242" s="21"/>
      <c r="M242" s="46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59"/>
      <c r="AM242" s="23"/>
      <c r="AN242" s="23"/>
      <c r="AO242" s="24"/>
      <c r="AQ242" s="35"/>
      <c r="AR242" s="35"/>
      <c r="AS242" s="35"/>
      <c r="AT242" s="35"/>
      <c r="AU242" s="35"/>
      <c r="AV242" s="35"/>
      <c r="AW242" s="35"/>
      <c r="AX242" s="35"/>
      <c r="AY242" s="35"/>
      <c r="BA242" s="35"/>
      <c r="BC242" s="56"/>
      <c r="BD242" s="55"/>
      <c r="BF242" s="89"/>
    </row>
    <row r="243" spans="1:58" s="25" customFormat="1" x14ac:dyDescent="0.3">
      <c r="A243" s="19"/>
      <c r="B243" s="19"/>
      <c r="C243" s="50"/>
      <c r="D243" s="50"/>
      <c r="E243" s="50"/>
      <c r="F243" s="51"/>
      <c r="G243" s="57"/>
      <c r="H243" s="51"/>
      <c r="I243" s="52"/>
      <c r="J243" s="20"/>
      <c r="K243" s="21"/>
      <c r="L243" s="21"/>
      <c r="M243" s="46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59"/>
      <c r="AM243" s="23"/>
      <c r="AN243" s="23"/>
      <c r="AO243" s="24"/>
      <c r="AQ243" s="35"/>
      <c r="AR243" s="35"/>
      <c r="AS243" s="35"/>
      <c r="AT243" s="35"/>
      <c r="AU243" s="35"/>
      <c r="AV243" s="35"/>
      <c r="AW243" s="35"/>
      <c r="AX243" s="35"/>
      <c r="AY243" s="35"/>
      <c r="BA243" s="35"/>
      <c r="BC243" s="56"/>
      <c r="BD243" s="55"/>
      <c r="BF243" s="89"/>
    </row>
    <row r="244" spans="1:58" s="25" customFormat="1" x14ac:dyDescent="0.3">
      <c r="A244" s="19"/>
      <c r="B244" s="19"/>
      <c r="C244" s="50"/>
      <c r="D244" s="50"/>
      <c r="E244" s="50"/>
      <c r="F244" s="51"/>
      <c r="G244" s="57"/>
      <c r="H244" s="51"/>
      <c r="I244" s="52"/>
      <c r="J244" s="20"/>
      <c r="K244" s="21"/>
      <c r="L244" s="21"/>
      <c r="M244" s="46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59"/>
      <c r="AM244" s="23"/>
      <c r="AN244" s="23"/>
      <c r="AO244" s="24"/>
      <c r="AQ244" s="35"/>
      <c r="AR244" s="35"/>
      <c r="AS244" s="35"/>
      <c r="AT244" s="35"/>
      <c r="AU244" s="35"/>
      <c r="AV244" s="35"/>
      <c r="AW244" s="35"/>
      <c r="AX244" s="35"/>
      <c r="AY244" s="35"/>
      <c r="BA244" s="35"/>
      <c r="BC244" s="56"/>
      <c r="BD244" s="55"/>
      <c r="BF244" s="89"/>
    </row>
    <row r="245" spans="1:58" s="25" customFormat="1" x14ac:dyDescent="0.3">
      <c r="A245" s="19"/>
      <c r="B245" s="19"/>
      <c r="C245" s="50"/>
      <c r="D245" s="50"/>
      <c r="E245" s="50"/>
      <c r="F245" s="51"/>
      <c r="G245" s="57"/>
      <c r="H245" s="51"/>
      <c r="I245" s="52"/>
      <c r="J245" s="20"/>
      <c r="K245" s="21"/>
      <c r="L245" s="21"/>
      <c r="M245" s="46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59"/>
      <c r="AM245" s="23"/>
      <c r="AN245" s="23"/>
      <c r="AO245" s="24"/>
      <c r="AQ245" s="35"/>
      <c r="AR245" s="35"/>
      <c r="AS245" s="35"/>
      <c r="AT245" s="35"/>
      <c r="AU245" s="35"/>
      <c r="AV245" s="35"/>
      <c r="AW245" s="35"/>
      <c r="AX245" s="35"/>
      <c r="AY245" s="35"/>
      <c r="BA245" s="35"/>
      <c r="BC245" s="56"/>
      <c r="BD245" s="55"/>
      <c r="BF245" s="89"/>
    </row>
    <row r="246" spans="1:58" s="25" customFormat="1" x14ac:dyDescent="0.3">
      <c r="A246" s="19"/>
      <c r="B246" s="19"/>
      <c r="C246" s="50"/>
      <c r="D246" s="50"/>
      <c r="E246" s="50"/>
      <c r="F246" s="51"/>
      <c r="G246" s="57"/>
      <c r="H246" s="51"/>
      <c r="I246" s="52"/>
      <c r="J246" s="20"/>
      <c r="K246" s="21"/>
      <c r="L246" s="21"/>
      <c r="M246" s="46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59"/>
      <c r="AM246" s="23"/>
      <c r="AN246" s="23"/>
      <c r="AO246" s="24"/>
      <c r="AQ246" s="35"/>
      <c r="AR246" s="35"/>
      <c r="AS246" s="35"/>
      <c r="AT246" s="35"/>
      <c r="AU246" s="35"/>
      <c r="AV246" s="35"/>
      <c r="AW246" s="35"/>
      <c r="AX246" s="35"/>
      <c r="AY246" s="35"/>
      <c r="BA246" s="35"/>
      <c r="BC246" s="56"/>
      <c r="BD246" s="55"/>
      <c r="BF246" s="89"/>
    </row>
    <row r="247" spans="1:58" s="25" customFormat="1" x14ac:dyDescent="0.3">
      <c r="A247" s="19"/>
      <c r="B247" s="19"/>
      <c r="C247" s="50"/>
      <c r="D247" s="50"/>
      <c r="E247" s="50"/>
      <c r="F247" s="51"/>
      <c r="G247" s="57"/>
      <c r="H247" s="51"/>
      <c r="I247" s="52"/>
      <c r="J247" s="20"/>
      <c r="K247" s="21"/>
      <c r="L247" s="21"/>
      <c r="M247" s="46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59"/>
      <c r="AM247" s="23"/>
      <c r="AN247" s="23"/>
      <c r="AO247" s="24"/>
      <c r="AQ247" s="35"/>
      <c r="AR247" s="35"/>
      <c r="AS247" s="35"/>
      <c r="AT247" s="35"/>
      <c r="AU247" s="35"/>
      <c r="AV247" s="35"/>
      <c r="AW247" s="35"/>
      <c r="AX247" s="35"/>
      <c r="AY247" s="35"/>
      <c r="BA247" s="35"/>
      <c r="BC247" s="56"/>
      <c r="BD247" s="55"/>
      <c r="BF247" s="89"/>
    </row>
    <row r="248" spans="1:58" s="25" customFormat="1" x14ac:dyDescent="0.3">
      <c r="A248" s="19"/>
      <c r="B248" s="19"/>
      <c r="C248" s="50"/>
      <c r="D248" s="50"/>
      <c r="E248" s="50"/>
      <c r="F248" s="51"/>
      <c r="G248" s="57"/>
      <c r="H248" s="51"/>
      <c r="I248" s="52"/>
      <c r="J248" s="20"/>
      <c r="K248" s="21"/>
      <c r="L248" s="21"/>
      <c r="M248" s="46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59"/>
      <c r="AM248" s="23"/>
      <c r="AN248" s="23"/>
      <c r="AO248" s="24"/>
      <c r="AQ248" s="35"/>
      <c r="AR248" s="35"/>
      <c r="AS248" s="35"/>
      <c r="AT248" s="35"/>
      <c r="AU248" s="35"/>
      <c r="AV248" s="35"/>
      <c r="AW248" s="35"/>
      <c r="AX248" s="35"/>
      <c r="AY248" s="35"/>
      <c r="BA248" s="35"/>
      <c r="BC248" s="56"/>
      <c r="BD248" s="55"/>
      <c r="BF248" s="89"/>
    </row>
    <row r="249" spans="1:58" s="25" customFormat="1" x14ac:dyDescent="0.3">
      <c r="A249" s="19"/>
      <c r="B249" s="19"/>
      <c r="C249" s="50"/>
      <c r="D249" s="50"/>
      <c r="E249" s="50"/>
      <c r="F249" s="51"/>
      <c r="G249" s="57"/>
      <c r="H249" s="51"/>
      <c r="I249" s="52"/>
      <c r="J249" s="20"/>
      <c r="K249" s="21"/>
      <c r="L249" s="21"/>
      <c r="M249" s="46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59"/>
      <c r="AM249" s="23"/>
      <c r="AN249" s="23"/>
      <c r="AO249" s="24"/>
      <c r="AQ249" s="35"/>
      <c r="AR249" s="35"/>
      <c r="AS249" s="35"/>
      <c r="AT249" s="35"/>
      <c r="AU249" s="35"/>
      <c r="AV249" s="35"/>
      <c r="AW249" s="35"/>
      <c r="AX249" s="35"/>
      <c r="AY249" s="35"/>
      <c r="BA249" s="35"/>
      <c r="BC249" s="56"/>
      <c r="BD249" s="55"/>
      <c r="BF249" s="89"/>
    </row>
    <row r="250" spans="1:58" s="25" customFormat="1" x14ac:dyDescent="0.3">
      <c r="A250" s="19"/>
      <c r="B250" s="19"/>
      <c r="C250" s="50"/>
      <c r="D250" s="50"/>
      <c r="E250" s="50"/>
      <c r="F250" s="51"/>
      <c r="G250" s="57"/>
      <c r="H250" s="51"/>
      <c r="I250" s="52"/>
      <c r="J250" s="20"/>
      <c r="K250" s="21"/>
      <c r="L250" s="21"/>
      <c r="M250" s="46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59"/>
      <c r="AM250" s="23"/>
      <c r="AN250" s="23"/>
      <c r="AO250" s="24"/>
      <c r="AQ250" s="35"/>
      <c r="AR250" s="35"/>
      <c r="AS250" s="35"/>
      <c r="AT250" s="35"/>
      <c r="AU250" s="35"/>
      <c r="AV250" s="35"/>
      <c r="AW250" s="35"/>
      <c r="AX250" s="35"/>
      <c r="AY250" s="35"/>
      <c r="BA250" s="35"/>
      <c r="BC250" s="56"/>
      <c r="BD250" s="55"/>
      <c r="BF250" s="89"/>
    </row>
    <row r="251" spans="1:58" s="25" customFormat="1" x14ac:dyDescent="0.3">
      <c r="A251" s="19"/>
      <c r="B251" s="19"/>
      <c r="C251" s="50"/>
      <c r="D251" s="50"/>
      <c r="E251" s="50"/>
      <c r="F251" s="51"/>
      <c r="G251" s="57"/>
      <c r="H251" s="51"/>
      <c r="I251" s="52"/>
      <c r="J251" s="20"/>
      <c r="K251" s="21"/>
      <c r="L251" s="21"/>
      <c r="M251" s="46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59"/>
      <c r="AM251" s="23"/>
      <c r="AN251" s="23"/>
      <c r="AO251" s="24"/>
      <c r="AQ251" s="35"/>
      <c r="AR251" s="35"/>
      <c r="AS251" s="35"/>
      <c r="AT251" s="35"/>
      <c r="AU251" s="35"/>
      <c r="AV251" s="35"/>
      <c r="AW251" s="35"/>
      <c r="AX251" s="35"/>
      <c r="AY251" s="35"/>
      <c r="BA251" s="35"/>
      <c r="BC251" s="56"/>
      <c r="BD251" s="55"/>
      <c r="BF251" s="89"/>
    </row>
    <row r="252" spans="1:58" s="25" customFormat="1" x14ac:dyDescent="0.3">
      <c r="A252" s="19"/>
      <c r="B252" s="19"/>
      <c r="C252" s="50"/>
      <c r="D252" s="50"/>
      <c r="E252" s="50"/>
      <c r="F252" s="51"/>
      <c r="G252" s="57"/>
      <c r="H252" s="51"/>
      <c r="I252" s="52"/>
      <c r="J252" s="20"/>
      <c r="K252" s="21"/>
      <c r="L252" s="21"/>
      <c r="M252" s="46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59"/>
      <c r="AM252" s="23"/>
      <c r="AN252" s="23"/>
      <c r="AO252" s="24"/>
      <c r="AQ252" s="35"/>
      <c r="AR252" s="35"/>
      <c r="AS252" s="35"/>
      <c r="AT252" s="35"/>
      <c r="AU252" s="35"/>
      <c r="AV252" s="35"/>
      <c r="AW252" s="35"/>
      <c r="AX252" s="35"/>
      <c r="AY252" s="35"/>
      <c r="BA252" s="35"/>
      <c r="BC252" s="56"/>
      <c r="BD252" s="55"/>
      <c r="BF252" s="89"/>
    </row>
    <row r="253" spans="1:58" s="25" customFormat="1" x14ac:dyDescent="0.3">
      <c r="A253" s="19"/>
      <c r="B253" s="42"/>
      <c r="C253" s="43"/>
      <c r="D253" s="43"/>
      <c r="E253" s="43"/>
      <c r="F253" s="44"/>
      <c r="G253" s="58"/>
      <c r="H253" s="44"/>
      <c r="I253" s="45"/>
      <c r="J253" s="62"/>
      <c r="K253" s="63"/>
      <c r="L253" s="63"/>
      <c r="M253" s="64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59"/>
      <c r="AM253" s="23"/>
      <c r="AN253" s="23"/>
      <c r="AO253" s="24"/>
      <c r="AQ253" s="35"/>
      <c r="AR253" s="35"/>
      <c r="AS253" s="35"/>
      <c r="AT253" s="35"/>
      <c r="AU253" s="35"/>
      <c r="AV253" s="35"/>
      <c r="AW253" s="35"/>
      <c r="AX253" s="35"/>
      <c r="AY253" s="35"/>
      <c r="BA253" s="35"/>
      <c r="BD253" s="55"/>
      <c r="BF253" s="89"/>
    </row>
    <row r="254" spans="1:58" s="25" customFormat="1" x14ac:dyDescent="0.3">
      <c r="A254" s="19"/>
      <c r="B254" s="19"/>
      <c r="C254" s="50"/>
      <c r="D254" s="50"/>
      <c r="E254" s="50"/>
      <c r="F254" s="51"/>
      <c r="G254" s="57"/>
      <c r="H254" s="51"/>
      <c r="I254" s="52"/>
      <c r="J254" s="20"/>
      <c r="K254" s="21"/>
      <c r="L254" s="21"/>
      <c r="M254" s="46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59"/>
      <c r="AM254" s="23"/>
      <c r="AN254" s="23"/>
      <c r="AO254" s="24"/>
      <c r="AQ254" s="35"/>
      <c r="AR254" s="35"/>
      <c r="AS254" s="35"/>
      <c r="AT254" s="35"/>
      <c r="AU254" s="35"/>
      <c r="AV254" s="35"/>
      <c r="AW254" s="35"/>
      <c r="AX254" s="35"/>
      <c r="AY254" s="35"/>
      <c r="BA254" s="35"/>
      <c r="BC254" s="56"/>
      <c r="BD254" s="55"/>
      <c r="BF254" s="89"/>
    </row>
    <row r="255" spans="1:58" s="25" customFormat="1" x14ac:dyDescent="0.3">
      <c r="A255" s="19"/>
      <c r="B255" s="19"/>
      <c r="C255" s="50"/>
      <c r="D255" s="50"/>
      <c r="E255" s="50"/>
      <c r="F255" s="51"/>
      <c r="G255" s="57"/>
      <c r="H255" s="51"/>
      <c r="I255" s="52"/>
      <c r="J255" s="20"/>
      <c r="K255" s="21"/>
      <c r="L255" s="21"/>
      <c r="M255" s="46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59"/>
      <c r="AM255" s="23"/>
      <c r="AN255" s="23"/>
      <c r="AO255" s="24"/>
      <c r="AQ255" s="35"/>
      <c r="AR255" s="35"/>
      <c r="AS255" s="35"/>
      <c r="AT255" s="35"/>
      <c r="AU255" s="35"/>
      <c r="AV255" s="35"/>
      <c r="AW255" s="35"/>
      <c r="AX255" s="35"/>
      <c r="AY255" s="35"/>
      <c r="BA255" s="35"/>
      <c r="BC255" s="56"/>
      <c r="BD255" s="55"/>
      <c r="BF255" s="89"/>
    </row>
    <row r="256" spans="1:58" s="25" customFormat="1" x14ac:dyDescent="0.3">
      <c r="A256" s="19"/>
      <c r="B256" s="19"/>
      <c r="C256" s="50"/>
      <c r="D256" s="50"/>
      <c r="E256" s="50"/>
      <c r="F256" s="51"/>
      <c r="G256" s="57"/>
      <c r="H256" s="51"/>
      <c r="I256" s="52"/>
      <c r="J256" s="20"/>
      <c r="K256" s="21"/>
      <c r="L256" s="21"/>
      <c r="M256" s="46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59"/>
      <c r="AM256" s="23"/>
      <c r="AN256" s="23"/>
      <c r="AO256" s="24"/>
      <c r="AQ256" s="35"/>
      <c r="AR256" s="35"/>
      <c r="AS256" s="35"/>
      <c r="AT256" s="35"/>
      <c r="AU256" s="35"/>
      <c r="AV256" s="35"/>
      <c r="AW256" s="35"/>
      <c r="AX256" s="35"/>
      <c r="AY256" s="35"/>
      <c r="BA256" s="35"/>
      <c r="BC256" s="56"/>
      <c r="BD256" s="55"/>
      <c r="BF256" s="89"/>
    </row>
    <row r="257" spans="1:58" s="25" customFormat="1" x14ac:dyDescent="0.3">
      <c r="A257" s="19"/>
      <c r="B257" s="19"/>
      <c r="C257" s="50"/>
      <c r="D257" s="50"/>
      <c r="E257" s="50"/>
      <c r="F257" s="51"/>
      <c r="G257" s="57"/>
      <c r="H257" s="51"/>
      <c r="I257" s="52"/>
      <c r="J257" s="20"/>
      <c r="K257" s="21"/>
      <c r="L257" s="21"/>
      <c r="M257" s="46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59"/>
      <c r="AM257" s="23"/>
      <c r="AN257" s="23"/>
      <c r="AO257" s="24"/>
      <c r="AQ257" s="35"/>
      <c r="AR257" s="35"/>
      <c r="AS257" s="35"/>
      <c r="AT257" s="35"/>
      <c r="AU257" s="35"/>
      <c r="AV257" s="35"/>
      <c r="AW257" s="35"/>
      <c r="AX257" s="35"/>
      <c r="AY257" s="35"/>
      <c r="BA257" s="35"/>
      <c r="BC257" s="56"/>
      <c r="BD257" s="55"/>
      <c r="BF257" s="89"/>
    </row>
    <row r="258" spans="1:58" s="25" customFormat="1" x14ac:dyDescent="0.3">
      <c r="A258" s="19"/>
      <c r="B258" s="19"/>
      <c r="C258" s="50"/>
      <c r="D258" s="50"/>
      <c r="E258" s="50"/>
      <c r="F258" s="51"/>
      <c r="G258" s="57"/>
      <c r="H258" s="51"/>
      <c r="I258" s="52"/>
      <c r="J258" s="20"/>
      <c r="K258" s="21"/>
      <c r="L258" s="21"/>
      <c r="M258" s="46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59"/>
      <c r="AM258" s="23"/>
      <c r="AN258" s="23"/>
      <c r="AO258" s="24"/>
      <c r="AQ258" s="35"/>
      <c r="AR258" s="35"/>
      <c r="AS258" s="35"/>
      <c r="AT258" s="35"/>
      <c r="AU258" s="35"/>
      <c r="AV258" s="35"/>
      <c r="AW258" s="35"/>
      <c r="AX258" s="35"/>
      <c r="AY258" s="35"/>
      <c r="BA258" s="35"/>
      <c r="BC258" s="56"/>
      <c r="BD258" s="55"/>
      <c r="BF258" s="89"/>
    </row>
    <row r="259" spans="1:58" s="25" customFormat="1" x14ac:dyDescent="0.3">
      <c r="A259" s="19"/>
      <c r="B259" s="19"/>
      <c r="C259" s="50"/>
      <c r="D259" s="50"/>
      <c r="E259" s="50"/>
      <c r="F259" s="51"/>
      <c r="G259" s="57"/>
      <c r="H259" s="51"/>
      <c r="I259" s="52"/>
      <c r="J259" s="20"/>
      <c r="K259" s="21"/>
      <c r="L259" s="21"/>
      <c r="M259" s="46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59"/>
      <c r="AM259" s="23"/>
      <c r="AN259" s="23"/>
      <c r="AO259" s="24"/>
      <c r="AQ259" s="35"/>
      <c r="AR259" s="35"/>
      <c r="AS259" s="35"/>
      <c r="AT259" s="35"/>
      <c r="AU259" s="35"/>
      <c r="AV259" s="35"/>
      <c r="AW259" s="35"/>
      <c r="AX259" s="35"/>
      <c r="AY259" s="35"/>
      <c r="BA259" s="35"/>
      <c r="BC259" s="56"/>
      <c r="BD259" s="55"/>
      <c r="BF259" s="89"/>
    </row>
    <row r="260" spans="1:58" s="25" customFormat="1" x14ac:dyDescent="0.3">
      <c r="A260" s="19"/>
      <c r="B260" s="19"/>
      <c r="C260" s="50"/>
      <c r="D260" s="50"/>
      <c r="E260" s="50"/>
      <c r="F260" s="51"/>
      <c r="G260" s="57"/>
      <c r="H260" s="51"/>
      <c r="I260" s="52"/>
      <c r="J260" s="20"/>
      <c r="K260" s="21"/>
      <c r="L260" s="21"/>
      <c r="M260" s="46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59"/>
      <c r="AM260" s="23"/>
      <c r="AN260" s="23"/>
      <c r="AO260" s="24"/>
      <c r="AQ260" s="35"/>
      <c r="AR260" s="35"/>
      <c r="AS260" s="35"/>
      <c r="AT260" s="35"/>
      <c r="AU260" s="35"/>
      <c r="AV260" s="35"/>
      <c r="AW260" s="35"/>
      <c r="AX260" s="35"/>
      <c r="AY260" s="35"/>
      <c r="BA260" s="35"/>
      <c r="BC260" s="56"/>
      <c r="BD260" s="55"/>
      <c r="BF260" s="89"/>
    </row>
    <row r="261" spans="1:58" s="25" customFormat="1" x14ac:dyDescent="0.3">
      <c r="A261" s="19"/>
      <c r="B261" s="19"/>
      <c r="C261" s="50"/>
      <c r="D261" s="50"/>
      <c r="E261" s="50"/>
      <c r="F261" s="51"/>
      <c r="G261" s="57"/>
      <c r="H261" s="51"/>
      <c r="I261" s="52"/>
      <c r="J261" s="20"/>
      <c r="K261" s="21"/>
      <c r="L261" s="21"/>
      <c r="M261" s="46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59"/>
      <c r="AM261" s="23"/>
      <c r="AN261" s="23"/>
      <c r="AO261" s="24"/>
      <c r="AQ261" s="35"/>
      <c r="AR261" s="35"/>
      <c r="AS261" s="35"/>
      <c r="AT261" s="35"/>
      <c r="AU261" s="35"/>
      <c r="AV261" s="35"/>
      <c r="AW261" s="35"/>
      <c r="AX261" s="35"/>
      <c r="AY261" s="35"/>
      <c r="BA261" s="35"/>
      <c r="BC261" s="56"/>
      <c r="BD261" s="55"/>
      <c r="BF261" s="89"/>
    </row>
    <row r="262" spans="1:58" s="25" customFormat="1" x14ac:dyDescent="0.3">
      <c r="A262" s="19"/>
      <c r="B262" s="19"/>
      <c r="C262" s="50"/>
      <c r="D262" s="50"/>
      <c r="E262" s="50"/>
      <c r="F262" s="51"/>
      <c r="G262" s="57"/>
      <c r="H262" s="51"/>
      <c r="I262" s="52"/>
      <c r="J262" s="20"/>
      <c r="K262" s="21"/>
      <c r="L262" s="21"/>
      <c r="M262" s="46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59"/>
      <c r="AM262" s="23"/>
      <c r="AN262" s="23"/>
      <c r="AO262" s="24"/>
      <c r="AQ262" s="35"/>
      <c r="AR262" s="35"/>
      <c r="AS262" s="35"/>
      <c r="AT262" s="35"/>
      <c r="AU262" s="35"/>
      <c r="AV262" s="35"/>
      <c r="AW262" s="35"/>
      <c r="AX262" s="35"/>
      <c r="AY262" s="35"/>
      <c r="BA262" s="35"/>
      <c r="BC262" s="56"/>
      <c r="BD262" s="55"/>
      <c r="BF262" s="89"/>
    </row>
    <row r="263" spans="1:58" s="25" customFormat="1" x14ac:dyDescent="0.3">
      <c r="A263" s="19"/>
      <c r="B263" s="19"/>
      <c r="C263" s="50"/>
      <c r="D263" s="50"/>
      <c r="E263" s="50"/>
      <c r="F263" s="51"/>
      <c r="G263" s="57"/>
      <c r="H263" s="51"/>
      <c r="I263" s="52"/>
      <c r="J263" s="20"/>
      <c r="K263" s="21"/>
      <c r="L263" s="21"/>
      <c r="M263" s="46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59"/>
      <c r="AM263" s="23"/>
      <c r="AN263" s="23"/>
      <c r="AO263" s="24"/>
      <c r="AQ263" s="35"/>
      <c r="AR263" s="35"/>
      <c r="AS263" s="35"/>
      <c r="AT263" s="35"/>
      <c r="AU263" s="35"/>
      <c r="AV263" s="35"/>
      <c r="AW263" s="35"/>
      <c r="AX263" s="35"/>
      <c r="AY263" s="35"/>
      <c r="BA263" s="35"/>
      <c r="BC263" s="56"/>
      <c r="BD263" s="55"/>
      <c r="BF263" s="89"/>
    </row>
    <row r="264" spans="1:58" s="25" customFormat="1" x14ac:dyDescent="0.3">
      <c r="A264" s="19"/>
      <c r="B264" s="19"/>
      <c r="C264" s="50"/>
      <c r="D264" s="50"/>
      <c r="E264" s="50"/>
      <c r="F264" s="51"/>
      <c r="G264" s="57"/>
      <c r="H264" s="51"/>
      <c r="I264" s="52"/>
      <c r="J264" s="20"/>
      <c r="K264" s="21"/>
      <c r="L264" s="21"/>
      <c r="M264" s="46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59"/>
      <c r="AM264" s="23"/>
      <c r="AN264" s="23"/>
      <c r="AO264" s="24"/>
      <c r="AQ264" s="35"/>
      <c r="AR264" s="35"/>
      <c r="AS264" s="35"/>
      <c r="AT264" s="35"/>
      <c r="AU264" s="35"/>
      <c r="AV264" s="35"/>
      <c r="AW264" s="35"/>
      <c r="AX264" s="35"/>
      <c r="AY264" s="35"/>
      <c r="BA264" s="35"/>
      <c r="BC264" s="56"/>
      <c r="BD264" s="55"/>
      <c r="BF264" s="89"/>
    </row>
    <row r="265" spans="1:58" s="25" customFormat="1" x14ac:dyDescent="0.3">
      <c r="A265" s="19"/>
      <c r="B265" s="19"/>
      <c r="C265" s="50"/>
      <c r="D265" s="50"/>
      <c r="E265" s="50"/>
      <c r="F265" s="51"/>
      <c r="G265" s="57"/>
      <c r="H265" s="51"/>
      <c r="I265" s="52"/>
      <c r="J265" s="20"/>
      <c r="K265" s="21"/>
      <c r="L265" s="21"/>
      <c r="M265" s="46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59"/>
      <c r="AM265" s="23"/>
      <c r="AN265" s="23"/>
      <c r="AO265" s="24"/>
      <c r="AQ265" s="35"/>
      <c r="AR265" s="35"/>
      <c r="AS265" s="35"/>
      <c r="AT265" s="35"/>
      <c r="AU265" s="35"/>
      <c r="AV265" s="35"/>
      <c r="AW265" s="35"/>
      <c r="AX265" s="35"/>
      <c r="AY265" s="35"/>
      <c r="BA265" s="35"/>
      <c r="BC265" s="56"/>
      <c r="BD265" s="55"/>
      <c r="BF265" s="89"/>
    </row>
    <row r="266" spans="1:58" s="25" customFormat="1" x14ac:dyDescent="0.3">
      <c r="A266" s="19"/>
      <c r="B266" s="19"/>
      <c r="C266" s="50"/>
      <c r="D266" s="50"/>
      <c r="E266" s="50"/>
      <c r="F266" s="51"/>
      <c r="G266" s="57"/>
      <c r="H266" s="51"/>
      <c r="I266" s="52"/>
      <c r="J266" s="20"/>
      <c r="K266" s="21"/>
      <c r="L266" s="21"/>
      <c r="M266" s="46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59"/>
      <c r="AM266" s="23"/>
      <c r="AN266" s="23"/>
      <c r="AO266" s="24"/>
      <c r="AQ266" s="35"/>
      <c r="AR266" s="35"/>
      <c r="AS266" s="35"/>
      <c r="AT266" s="35"/>
      <c r="AU266" s="35"/>
      <c r="AV266" s="35"/>
      <c r="AW266" s="35"/>
      <c r="AX266" s="35"/>
      <c r="AY266" s="35"/>
      <c r="BA266" s="35"/>
      <c r="BC266" s="56"/>
      <c r="BD266" s="55"/>
      <c r="BF266" s="89"/>
    </row>
    <row r="267" spans="1:58" s="25" customFormat="1" x14ac:dyDescent="0.3">
      <c r="A267" s="19"/>
      <c r="B267" s="19"/>
      <c r="C267" s="50"/>
      <c r="D267" s="50"/>
      <c r="E267" s="50"/>
      <c r="F267" s="51"/>
      <c r="G267" s="57"/>
      <c r="H267" s="51"/>
      <c r="I267" s="52"/>
      <c r="J267" s="20"/>
      <c r="K267" s="21"/>
      <c r="L267" s="21"/>
      <c r="M267" s="46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59"/>
      <c r="AM267" s="23"/>
      <c r="AN267" s="23"/>
      <c r="AO267" s="24"/>
      <c r="AQ267" s="35"/>
      <c r="AR267" s="35"/>
      <c r="AS267" s="35"/>
      <c r="AT267" s="35"/>
      <c r="AU267" s="35"/>
      <c r="AV267" s="35"/>
      <c r="AW267" s="35"/>
      <c r="AX267" s="35"/>
      <c r="AY267" s="35"/>
      <c r="BA267" s="35"/>
      <c r="BC267" s="56"/>
      <c r="BD267" s="55"/>
      <c r="BF267" s="89"/>
    </row>
    <row r="268" spans="1:58" s="25" customFormat="1" x14ac:dyDescent="0.3">
      <c r="A268" s="19"/>
      <c r="B268" s="19"/>
      <c r="C268" s="50"/>
      <c r="D268" s="50"/>
      <c r="E268" s="50"/>
      <c r="F268" s="51"/>
      <c r="G268" s="57"/>
      <c r="H268" s="51"/>
      <c r="I268" s="52"/>
      <c r="J268" s="20"/>
      <c r="K268" s="21"/>
      <c r="L268" s="21"/>
      <c r="M268" s="46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59"/>
      <c r="AM268" s="23"/>
      <c r="AN268" s="23"/>
      <c r="AO268" s="24"/>
      <c r="AQ268" s="35"/>
      <c r="AR268" s="35"/>
      <c r="AS268" s="35"/>
      <c r="AT268" s="35"/>
      <c r="AU268" s="35"/>
      <c r="AV268" s="35"/>
      <c r="AW268" s="35"/>
      <c r="AX268" s="35"/>
      <c r="AY268" s="35"/>
      <c r="BA268" s="35"/>
      <c r="BC268" s="56"/>
      <c r="BD268" s="55"/>
      <c r="BF268" s="89"/>
    </row>
    <row r="269" spans="1:58" s="25" customFormat="1" x14ac:dyDescent="0.3">
      <c r="A269" s="19"/>
      <c r="B269" s="19"/>
      <c r="C269" s="50"/>
      <c r="D269" s="50"/>
      <c r="E269" s="50"/>
      <c r="F269" s="51"/>
      <c r="G269" s="57"/>
      <c r="H269" s="51"/>
      <c r="I269" s="52"/>
      <c r="J269" s="20"/>
      <c r="K269" s="21"/>
      <c r="L269" s="21"/>
      <c r="M269" s="46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59"/>
      <c r="AM269" s="23"/>
      <c r="AN269" s="23"/>
      <c r="AO269" s="24"/>
      <c r="AQ269" s="35"/>
      <c r="AR269" s="35"/>
      <c r="AS269" s="35"/>
      <c r="AT269" s="35"/>
      <c r="AU269" s="35"/>
      <c r="AV269" s="35"/>
      <c r="AW269" s="35"/>
      <c r="AX269" s="35"/>
      <c r="AY269" s="35"/>
      <c r="BA269" s="35"/>
      <c r="BC269" s="56"/>
      <c r="BD269" s="55"/>
      <c r="BF269" s="89"/>
    </row>
    <row r="270" spans="1:58" s="25" customFormat="1" x14ac:dyDescent="0.3">
      <c r="A270" s="19"/>
      <c r="B270" s="19"/>
      <c r="C270" s="50"/>
      <c r="D270" s="50"/>
      <c r="E270" s="50"/>
      <c r="F270" s="51"/>
      <c r="G270" s="57"/>
      <c r="H270" s="51"/>
      <c r="I270" s="52"/>
      <c r="J270" s="20"/>
      <c r="K270" s="21"/>
      <c r="L270" s="21"/>
      <c r="M270" s="46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59"/>
      <c r="AM270" s="23"/>
      <c r="AN270" s="23"/>
      <c r="AO270" s="24"/>
      <c r="AQ270" s="35"/>
      <c r="AR270" s="35"/>
      <c r="AS270" s="35"/>
      <c r="AT270" s="35"/>
      <c r="AU270" s="35"/>
      <c r="AV270" s="35"/>
      <c r="AW270" s="35"/>
      <c r="AX270" s="35"/>
      <c r="AY270" s="35"/>
      <c r="BA270" s="35"/>
      <c r="BC270" s="56"/>
      <c r="BD270" s="55"/>
      <c r="BF270" s="89"/>
    </row>
    <row r="271" spans="1:58" s="25" customFormat="1" x14ac:dyDescent="0.3">
      <c r="A271" s="19"/>
      <c r="B271" s="19"/>
      <c r="C271" s="50"/>
      <c r="D271" s="50"/>
      <c r="E271" s="50"/>
      <c r="F271" s="51"/>
      <c r="G271" s="57"/>
      <c r="H271" s="51"/>
      <c r="I271" s="52"/>
      <c r="J271" s="20"/>
      <c r="K271" s="21"/>
      <c r="L271" s="21"/>
      <c r="M271" s="46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59"/>
      <c r="AM271" s="23"/>
      <c r="AN271" s="23"/>
      <c r="AO271" s="24"/>
      <c r="AQ271" s="35"/>
      <c r="AR271" s="35"/>
      <c r="AS271" s="35"/>
      <c r="AT271" s="35"/>
      <c r="AU271" s="35"/>
      <c r="AV271" s="35"/>
      <c r="AW271" s="35"/>
      <c r="AX271" s="35"/>
      <c r="AY271" s="35"/>
      <c r="BA271" s="35"/>
      <c r="BC271" s="56"/>
      <c r="BD271" s="55"/>
      <c r="BF271" s="89"/>
    </row>
    <row r="272" spans="1:58" s="25" customFormat="1" x14ac:dyDescent="0.3">
      <c r="A272" s="19"/>
      <c r="B272" s="19"/>
      <c r="C272" s="50"/>
      <c r="D272" s="50"/>
      <c r="E272" s="50"/>
      <c r="F272" s="51"/>
      <c r="G272" s="57"/>
      <c r="H272" s="51"/>
      <c r="I272" s="52"/>
      <c r="J272" s="20"/>
      <c r="K272" s="21"/>
      <c r="L272" s="21"/>
      <c r="M272" s="46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59"/>
      <c r="AM272" s="23"/>
      <c r="AN272" s="23"/>
      <c r="AO272" s="24"/>
      <c r="AQ272" s="35"/>
      <c r="AR272" s="35"/>
      <c r="AS272" s="35"/>
      <c r="AT272" s="35"/>
      <c r="AU272" s="35"/>
      <c r="AV272" s="35"/>
      <c r="AW272" s="35"/>
      <c r="AX272" s="35"/>
      <c r="AY272" s="35"/>
      <c r="BA272" s="35"/>
      <c r="BC272" s="56"/>
      <c r="BD272" s="55"/>
      <c r="BF272" s="89"/>
    </row>
    <row r="273" spans="1:58" s="25" customFormat="1" x14ac:dyDescent="0.3">
      <c r="A273" s="19"/>
      <c r="B273" s="19"/>
      <c r="C273" s="50"/>
      <c r="D273" s="50"/>
      <c r="E273" s="50"/>
      <c r="F273" s="51"/>
      <c r="G273" s="57"/>
      <c r="H273" s="51"/>
      <c r="I273" s="52"/>
      <c r="J273" s="20"/>
      <c r="K273" s="21"/>
      <c r="L273" s="21"/>
      <c r="M273" s="46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59"/>
      <c r="AM273" s="23"/>
      <c r="AN273" s="23"/>
      <c r="AO273" s="24"/>
      <c r="AQ273" s="35"/>
      <c r="AR273" s="35"/>
      <c r="AS273" s="35"/>
      <c r="AT273" s="35"/>
      <c r="AU273" s="35"/>
      <c r="AV273" s="35"/>
      <c r="AW273" s="35"/>
      <c r="AX273" s="35"/>
      <c r="AY273" s="35"/>
      <c r="BA273" s="35"/>
      <c r="BC273" s="56"/>
      <c r="BD273" s="55"/>
      <c r="BF273" s="89"/>
    </row>
    <row r="274" spans="1:58" s="25" customFormat="1" x14ac:dyDescent="0.3">
      <c r="A274" s="19"/>
      <c r="B274" s="19"/>
      <c r="C274" s="50"/>
      <c r="D274" s="50"/>
      <c r="E274" s="50"/>
      <c r="F274" s="51"/>
      <c r="G274" s="57"/>
      <c r="H274" s="51"/>
      <c r="I274" s="52"/>
      <c r="J274" s="20"/>
      <c r="K274" s="21"/>
      <c r="L274" s="21"/>
      <c r="M274" s="46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59"/>
      <c r="AM274" s="23"/>
      <c r="AN274" s="23"/>
      <c r="AO274" s="24"/>
      <c r="AQ274" s="35"/>
      <c r="AR274" s="35"/>
      <c r="AS274" s="35"/>
      <c r="AT274" s="35"/>
      <c r="AU274" s="35"/>
      <c r="AV274" s="35"/>
      <c r="AW274" s="35"/>
      <c r="AX274" s="35"/>
      <c r="AY274" s="35"/>
      <c r="BA274" s="35"/>
      <c r="BC274" s="56"/>
      <c r="BD274" s="55"/>
      <c r="BF274" s="89"/>
    </row>
    <row r="275" spans="1:58" s="25" customFormat="1" x14ac:dyDescent="0.3">
      <c r="A275" s="19"/>
      <c r="B275" s="19"/>
      <c r="C275" s="50"/>
      <c r="D275" s="50"/>
      <c r="E275" s="50"/>
      <c r="F275" s="51"/>
      <c r="G275" s="57"/>
      <c r="H275" s="51"/>
      <c r="I275" s="52"/>
      <c r="J275" s="20"/>
      <c r="K275" s="21"/>
      <c r="L275" s="21"/>
      <c r="M275" s="46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59"/>
      <c r="AM275" s="23"/>
      <c r="AN275" s="23"/>
      <c r="AO275" s="24"/>
      <c r="AQ275" s="35"/>
      <c r="AR275" s="35"/>
      <c r="AS275" s="35"/>
      <c r="AT275" s="35"/>
      <c r="AU275" s="35"/>
      <c r="AV275" s="35"/>
      <c r="AW275" s="35"/>
      <c r="AX275" s="35"/>
      <c r="AY275" s="35"/>
      <c r="BA275" s="35"/>
      <c r="BC275" s="56"/>
      <c r="BD275" s="55"/>
      <c r="BF275" s="89"/>
    </row>
    <row r="276" spans="1:58" s="25" customFormat="1" x14ac:dyDescent="0.3">
      <c r="A276" s="19"/>
      <c r="B276" s="19"/>
      <c r="C276" s="50"/>
      <c r="D276" s="50"/>
      <c r="E276" s="50"/>
      <c r="F276" s="51"/>
      <c r="G276" s="57"/>
      <c r="H276" s="51"/>
      <c r="I276" s="52"/>
      <c r="J276" s="20"/>
      <c r="K276" s="21"/>
      <c r="L276" s="21"/>
      <c r="M276" s="46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59"/>
      <c r="AM276" s="23"/>
      <c r="AN276" s="23"/>
      <c r="AO276" s="24"/>
      <c r="AQ276" s="35"/>
      <c r="AR276" s="35"/>
      <c r="AS276" s="35"/>
      <c r="AT276" s="35"/>
      <c r="AU276" s="35"/>
      <c r="AV276" s="35"/>
      <c r="AW276" s="35"/>
      <c r="AX276" s="35"/>
      <c r="AY276" s="35"/>
      <c r="BA276" s="35"/>
      <c r="BC276" s="56"/>
      <c r="BD276" s="55"/>
      <c r="BF276" s="89"/>
    </row>
    <row r="277" spans="1:58" s="25" customFormat="1" x14ac:dyDescent="0.3">
      <c r="A277" s="19"/>
      <c r="B277" s="19"/>
      <c r="C277" s="50"/>
      <c r="D277" s="50"/>
      <c r="E277" s="50"/>
      <c r="F277" s="51"/>
      <c r="G277" s="57"/>
      <c r="H277" s="51"/>
      <c r="I277" s="52"/>
      <c r="J277" s="20"/>
      <c r="K277" s="21"/>
      <c r="L277" s="21"/>
      <c r="M277" s="46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59"/>
      <c r="AM277" s="23"/>
      <c r="AN277" s="23"/>
      <c r="AO277" s="24"/>
      <c r="AQ277" s="35"/>
      <c r="AR277" s="35"/>
      <c r="AS277" s="35"/>
      <c r="AT277" s="35"/>
      <c r="AU277" s="35"/>
      <c r="AV277" s="35"/>
      <c r="AW277" s="35"/>
      <c r="AX277" s="35"/>
      <c r="AY277" s="35"/>
      <c r="BA277" s="35"/>
      <c r="BC277" s="56"/>
      <c r="BD277" s="55"/>
      <c r="BF277" s="89"/>
    </row>
    <row r="278" spans="1:58" s="25" customFormat="1" x14ac:dyDescent="0.3">
      <c r="A278" s="19"/>
      <c r="B278" s="19"/>
      <c r="C278" s="50"/>
      <c r="D278" s="50"/>
      <c r="E278" s="50"/>
      <c r="F278" s="51"/>
      <c r="G278" s="57"/>
      <c r="H278" s="51"/>
      <c r="I278" s="52"/>
      <c r="J278" s="20"/>
      <c r="K278" s="21"/>
      <c r="L278" s="21"/>
      <c r="M278" s="46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59"/>
      <c r="AM278" s="23"/>
      <c r="AN278" s="23"/>
      <c r="AO278" s="24"/>
      <c r="AQ278" s="35"/>
      <c r="AR278" s="35"/>
      <c r="AS278" s="35"/>
      <c r="AT278" s="35"/>
      <c r="AU278" s="35"/>
      <c r="AV278" s="35"/>
      <c r="AW278" s="35"/>
      <c r="AX278" s="35"/>
      <c r="AY278" s="35"/>
      <c r="BA278" s="35"/>
      <c r="BC278" s="56"/>
      <c r="BD278" s="55"/>
      <c r="BF278" s="89"/>
    </row>
    <row r="279" spans="1:58" s="25" customFormat="1" x14ac:dyDescent="0.3">
      <c r="A279" s="19"/>
      <c r="B279" s="19"/>
      <c r="C279" s="50"/>
      <c r="D279" s="50"/>
      <c r="E279" s="50"/>
      <c r="F279" s="51"/>
      <c r="G279" s="57"/>
      <c r="H279" s="51"/>
      <c r="I279" s="52"/>
      <c r="J279" s="20"/>
      <c r="K279" s="21"/>
      <c r="L279" s="21"/>
      <c r="M279" s="46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59"/>
      <c r="AM279" s="23"/>
      <c r="AN279" s="23"/>
      <c r="AO279" s="24"/>
      <c r="AQ279" s="35"/>
      <c r="AR279" s="35"/>
      <c r="AS279" s="35"/>
      <c r="AT279" s="35"/>
      <c r="AU279" s="35"/>
      <c r="AV279" s="35"/>
      <c r="AW279" s="35"/>
      <c r="AX279" s="35"/>
      <c r="AY279" s="35"/>
      <c r="BA279" s="35"/>
      <c r="BC279" s="56"/>
      <c r="BD279" s="55"/>
      <c r="BF279" s="89"/>
    </row>
    <row r="280" spans="1:58" s="25" customFormat="1" x14ac:dyDescent="0.3">
      <c r="A280" s="19"/>
      <c r="B280" s="19"/>
      <c r="C280" s="50"/>
      <c r="D280" s="50"/>
      <c r="E280" s="50"/>
      <c r="F280" s="51"/>
      <c r="G280" s="57"/>
      <c r="H280" s="51"/>
      <c r="I280" s="52"/>
      <c r="J280" s="20"/>
      <c r="K280" s="21"/>
      <c r="L280" s="21"/>
      <c r="M280" s="46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59"/>
      <c r="AM280" s="23"/>
      <c r="AN280" s="23"/>
      <c r="AO280" s="24"/>
      <c r="AQ280" s="35"/>
      <c r="AR280" s="35"/>
      <c r="AS280" s="35"/>
      <c r="AT280" s="35"/>
      <c r="AU280" s="35"/>
      <c r="AV280" s="35"/>
      <c r="AW280" s="35"/>
      <c r="AX280" s="35"/>
      <c r="AY280" s="35"/>
      <c r="BA280" s="35"/>
      <c r="BC280" s="56"/>
      <c r="BD280" s="55"/>
      <c r="BF280" s="89"/>
    </row>
    <row r="281" spans="1:58" s="25" customFormat="1" x14ac:dyDescent="0.3">
      <c r="A281" s="19"/>
      <c r="B281" s="19"/>
      <c r="C281" s="50"/>
      <c r="D281" s="50"/>
      <c r="E281" s="50"/>
      <c r="F281" s="51"/>
      <c r="G281" s="57"/>
      <c r="H281" s="51"/>
      <c r="I281" s="52"/>
      <c r="J281" s="20"/>
      <c r="K281" s="21"/>
      <c r="L281" s="21"/>
      <c r="M281" s="46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59"/>
      <c r="AM281" s="23"/>
      <c r="AN281" s="23"/>
      <c r="AO281" s="24"/>
      <c r="AQ281" s="35"/>
      <c r="AR281" s="35"/>
      <c r="AS281" s="35"/>
      <c r="AT281" s="35"/>
      <c r="AU281" s="35"/>
      <c r="AV281" s="35"/>
      <c r="AW281" s="35"/>
      <c r="AX281" s="35"/>
      <c r="AY281" s="35"/>
      <c r="BA281" s="35"/>
      <c r="BC281" s="56"/>
      <c r="BD281" s="55"/>
      <c r="BF281" s="89"/>
    </row>
    <row r="282" spans="1:58" s="25" customFormat="1" x14ac:dyDescent="0.3">
      <c r="A282" s="19"/>
      <c r="B282" s="19"/>
      <c r="C282" s="50"/>
      <c r="D282" s="50"/>
      <c r="E282" s="50"/>
      <c r="F282" s="51"/>
      <c r="G282" s="57"/>
      <c r="H282" s="51"/>
      <c r="I282" s="52"/>
      <c r="J282" s="20"/>
      <c r="K282" s="21"/>
      <c r="L282" s="21"/>
      <c r="M282" s="46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59"/>
      <c r="AM282" s="23"/>
      <c r="AN282" s="23"/>
      <c r="AO282" s="24"/>
      <c r="AQ282" s="35"/>
      <c r="AR282" s="35"/>
      <c r="AS282" s="35"/>
      <c r="AT282" s="35"/>
      <c r="AU282" s="35"/>
      <c r="AV282" s="35"/>
      <c r="AW282" s="35"/>
      <c r="AX282" s="35"/>
      <c r="AY282" s="35"/>
      <c r="BA282" s="35"/>
      <c r="BC282" s="56"/>
      <c r="BD282" s="55"/>
      <c r="BF282" s="89"/>
    </row>
    <row r="283" spans="1:58" s="25" customFormat="1" x14ac:dyDescent="0.3">
      <c r="A283" s="19"/>
      <c r="B283" s="19"/>
      <c r="C283" s="50"/>
      <c r="D283" s="50"/>
      <c r="E283" s="43"/>
      <c r="F283" s="44"/>
      <c r="G283" s="58"/>
      <c r="H283" s="44"/>
      <c r="I283" s="45"/>
      <c r="J283" s="20"/>
      <c r="K283" s="83"/>
      <c r="L283" s="83"/>
      <c r="M283" s="46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59"/>
      <c r="AM283" s="23"/>
      <c r="AN283" s="23"/>
      <c r="AO283" s="24"/>
      <c r="AQ283" s="35"/>
      <c r="AR283" s="35"/>
      <c r="AS283" s="35"/>
      <c r="AT283" s="35"/>
      <c r="AU283" s="35"/>
      <c r="AV283" s="35"/>
      <c r="AW283" s="35"/>
      <c r="AX283" s="35"/>
      <c r="AY283" s="35"/>
      <c r="BA283" s="35"/>
      <c r="BD283" s="55"/>
      <c r="BF283" s="89"/>
    </row>
    <row r="284" spans="1:58" s="25" customFormat="1" x14ac:dyDescent="0.3">
      <c r="A284" s="19"/>
      <c r="B284" s="19"/>
      <c r="C284" s="50"/>
      <c r="D284" s="50"/>
      <c r="E284" s="50"/>
      <c r="F284" s="51"/>
      <c r="G284" s="57"/>
      <c r="H284" s="51"/>
      <c r="I284" s="52"/>
      <c r="J284" s="20"/>
      <c r="K284" s="21"/>
      <c r="L284" s="21"/>
      <c r="M284" s="46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59"/>
      <c r="AM284" s="23"/>
      <c r="AN284" s="23"/>
      <c r="AO284" s="24"/>
      <c r="AQ284" s="35"/>
      <c r="AR284" s="35"/>
      <c r="AS284" s="35"/>
      <c r="AT284" s="35"/>
      <c r="AU284" s="35"/>
      <c r="AV284" s="35"/>
      <c r="AW284" s="35"/>
      <c r="AX284" s="35"/>
      <c r="AY284" s="35"/>
      <c r="BA284" s="35"/>
      <c r="BC284" s="56"/>
      <c r="BD284" s="55"/>
      <c r="BF284" s="89"/>
    </row>
    <row r="285" spans="1:58" s="25" customFormat="1" x14ac:dyDescent="0.3">
      <c r="A285" s="19"/>
      <c r="B285" s="19"/>
      <c r="C285" s="50"/>
      <c r="D285" s="50"/>
      <c r="E285" s="50"/>
      <c r="F285" s="51"/>
      <c r="G285" s="57"/>
      <c r="H285" s="51"/>
      <c r="I285" s="52"/>
      <c r="J285" s="20"/>
      <c r="K285" s="21"/>
      <c r="L285" s="21"/>
      <c r="M285" s="46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59"/>
      <c r="AM285" s="23"/>
      <c r="AN285" s="23"/>
      <c r="AO285" s="24"/>
      <c r="AQ285" s="35"/>
      <c r="AR285" s="35"/>
      <c r="AS285" s="35"/>
      <c r="AT285" s="35"/>
      <c r="AU285" s="35"/>
      <c r="AV285" s="35"/>
      <c r="AW285" s="35"/>
      <c r="AX285" s="35"/>
      <c r="AY285" s="35"/>
      <c r="BA285" s="35"/>
      <c r="BC285" s="56"/>
      <c r="BD285" s="55"/>
      <c r="BF285" s="89"/>
    </row>
    <row r="286" spans="1:58" s="25" customFormat="1" x14ac:dyDescent="0.3">
      <c r="A286" s="19"/>
      <c r="B286" s="19"/>
      <c r="C286" s="50"/>
      <c r="D286" s="50"/>
      <c r="E286" s="50"/>
      <c r="F286" s="51"/>
      <c r="G286" s="57"/>
      <c r="H286" s="51"/>
      <c r="I286" s="52"/>
      <c r="J286" s="20"/>
      <c r="K286" s="21"/>
      <c r="L286" s="21"/>
      <c r="M286" s="46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59"/>
      <c r="AM286" s="23"/>
      <c r="AN286" s="23"/>
      <c r="AO286" s="24"/>
      <c r="AQ286" s="35"/>
      <c r="AR286" s="35"/>
      <c r="AS286" s="35"/>
      <c r="AT286" s="35"/>
      <c r="AU286" s="35"/>
      <c r="AV286" s="35"/>
      <c r="AW286" s="35"/>
      <c r="AX286" s="35"/>
      <c r="AY286" s="35"/>
      <c r="BA286" s="35"/>
      <c r="BC286" s="56"/>
      <c r="BD286" s="55"/>
      <c r="BF286" s="89"/>
    </row>
    <row r="287" spans="1:58" s="25" customFormat="1" x14ac:dyDescent="0.3">
      <c r="A287" s="19"/>
      <c r="B287" s="19"/>
      <c r="C287" s="50"/>
      <c r="D287" s="50"/>
      <c r="E287" s="50"/>
      <c r="F287" s="51"/>
      <c r="G287" s="57"/>
      <c r="H287" s="51"/>
      <c r="I287" s="52"/>
      <c r="J287" s="20"/>
      <c r="K287" s="21"/>
      <c r="L287" s="21"/>
      <c r="M287" s="46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59"/>
      <c r="AM287" s="23"/>
      <c r="AN287" s="23"/>
      <c r="AO287" s="24"/>
      <c r="AQ287" s="35"/>
      <c r="AR287" s="35"/>
      <c r="AS287" s="35"/>
      <c r="AT287" s="35"/>
      <c r="AU287" s="35"/>
      <c r="AV287" s="35"/>
      <c r="AW287" s="35"/>
      <c r="AX287" s="35"/>
      <c r="AY287" s="35"/>
      <c r="BA287" s="35"/>
      <c r="BC287" s="56"/>
      <c r="BD287" s="55"/>
      <c r="BF287" s="89"/>
    </row>
    <row r="288" spans="1:58" s="25" customFormat="1" x14ac:dyDescent="0.3">
      <c r="A288" s="19"/>
      <c r="B288" s="19"/>
      <c r="C288" s="50"/>
      <c r="D288" s="50"/>
      <c r="E288" s="50"/>
      <c r="F288" s="51"/>
      <c r="G288" s="57"/>
      <c r="H288" s="51"/>
      <c r="I288" s="52"/>
      <c r="J288" s="20"/>
      <c r="K288" s="21"/>
      <c r="L288" s="21"/>
      <c r="M288" s="46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59"/>
      <c r="AM288" s="23"/>
      <c r="AN288" s="23"/>
      <c r="AO288" s="24"/>
      <c r="AQ288" s="35"/>
      <c r="AR288" s="35"/>
      <c r="AS288" s="35"/>
      <c r="AT288" s="35"/>
      <c r="AU288" s="35"/>
      <c r="AV288" s="35"/>
      <c r="AW288" s="35"/>
      <c r="AX288" s="35"/>
      <c r="AY288" s="35"/>
      <c r="BA288" s="35"/>
      <c r="BC288" s="56"/>
      <c r="BD288" s="55"/>
      <c r="BF288" s="89"/>
    </row>
    <row r="289" spans="1:58" s="25" customFormat="1" x14ac:dyDescent="0.3">
      <c r="A289" s="19"/>
      <c r="B289" s="19"/>
      <c r="C289" s="50"/>
      <c r="D289" s="50"/>
      <c r="E289" s="50"/>
      <c r="F289" s="51"/>
      <c r="G289" s="57"/>
      <c r="H289" s="51"/>
      <c r="I289" s="52"/>
      <c r="J289" s="20"/>
      <c r="K289" s="21"/>
      <c r="L289" s="21"/>
      <c r="M289" s="46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59"/>
      <c r="AM289" s="23"/>
      <c r="AN289" s="23"/>
      <c r="AO289" s="24"/>
      <c r="AQ289" s="35"/>
      <c r="AR289" s="35"/>
      <c r="AS289" s="35"/>
      <c r="AT289" s="35"/>
      <c r="AU289" s="35"/>
      <c r="AV289" s="35"/>
      <c r="AW289" s="35"/>
      <c r="AX289" s="35"/>
      <c r="AY289" s="35"/>
      <c r="BA289" s="35"/>
      <c r="BC289" s="56"/>
      <c r="BD289" s="55"/>
      <c r="BF289" s="89"/>
    </row>
    <row r="290" spans="1:58" s="25" customFormat="1" x14ac:dyDescent="0.3">
      <c r="A290" s="19"/>
      <c r="B290" s="19"/>
      <c r="C290" s="50"/>
      <c r="D290" s="50"/>
      <c r="E290" s="50"/>
      <c r="F290" s="51"/>
      <c r="G290" s="57"/>
      <c r="H290" s="51"/>
      <c r="I290" s="52"/>
      <c r="J290" s="20"/>
      <c r="K290" s="21"/>
      <c r="L290" s="21"/>
      <c r="M290" s="46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59"/>
      <c r="AM290" s="23"/>
      <c r="AN290" s="23"/>
      <c r="AO290" s="24"/>
      <c r="AQ290" s="35"/>
      <c r="AR290" s="35"/>
      <c r="AS290" s="35"/>
      <c r="AT290" s="35"/>
      <c r="AU290" s="35"/>
      <c r="AV290" s="35"/>
      <c r="AW290" s="35"/>
      <c r="AX290" s="35"/>
      <c r="AY290" s="35"/>
      <c r="BA290" s="35"/>
      <c r="BC290" s="56"/>
      <c r="BD290" s="55"/>
      <c r="BF290" s="89"/>
    </row>
    <row r="291" spans="1:58" s="25" customFormat="1" x14ac:dyDescent="0.3">
      <c r="A291" s="19"/>
      <c r="B291" s="19"/>
      <c r="C291" s="50"/>
      <c r="D291" s="50"/>
      <c r="E291" s="50"/>
      <c r="F291" s="51"/>
      <c r="G291" s="57"/>
      <c r="H291" s="51"/>
      <c r="I291" s="52"/>
      <c r="J291" s="20"/>
      <c r="K291" s="21"/>
      <c r="L291" s="21"/>
      <c r="M291" s="46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59"/>
      <c r="AM291" s="23"/>
      <c r="AN291" s="23"/>
      <c r="AO291" s="24"/>
      <c r="AQ291" s="35"/>
      <c r="AR291" s="35"/>
      <c r="AS291" s="35"/>
      <c r="AT291" s="35"/>
      <c r="AU291" s="35"/>
      <c r="AV291" s="35"/>
      <c r="AW291" s="35"/>
      <c r="AX291" s="35"/>
      <c r="AY291" s="35"/>
      <c r="BA291" s="35"/>
      <c r="BC291" s="56"/>
      <c r="BD291" s="55"/>
      <c r="BF291" s="89"/>
    </row>
    <row r="292" spans="1:58" s="25" customFormat="1" x14ac:dyDescent="0.3">
      <c r="A292" s="19"/>
      <c r="B292" s="19"/>
      <c r="C292" s="50"/>
      <c r="D292" s="50"/>
      <c r="E292" s="50"/>
      <c r="F292" s="51"/>
      <c r="G292" s="57"/>
      <c r="H292" s="51"/>
      <c r="I292" s="52"/>
      <c r="J292" s="20"/>
      <c r="K292" s="21"/>
      <c r="L292" s="21"/>
      <c r="M292" s="46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59"/>
      <c r="AM292" s="23"/>
      <c r="AN292" s="23"/>
      <c r="AO292" s="24"/>
      <c r="AQ292" s="35"/>
      <c r="AR292" s="35"/>
      <c r="AS292" s="35"/>
      <c r="AT292" s="35"/>
      <c r="AU292" s="35"/>
      <c r="AV292" s="35"/>
      <c r="AW292" s="35"/>
      <c r="AX292" s="35"/>
      <c r="AY292" s="35"/>
      <c r="BA292" s="35"/>
      <c r="BC292" s="56"/>
      <c r="BD292" s="55"/>
      <c r="BF292" s="89"/>
    </row>
    <row r="293" spans="1:58" s="25" customFormat="1" x14ac:dyDescent="0.3">
      <c r="A293" s="19"/>
      <c r="B293" s="19"/>
      <c r="C293" s="50"/>
      <c r="D293" s="50"/>
      <c r="E293" s="50"/>
      <c r="F293" s="51"/>
      <c r="G293" s="57"/>
      <c r="H293" s="51"/>
      <c r="I293" s="52"/>
      <c r="J293" s="20"/>
      <c r="K293" s="21"/>
      <c r="L293" s="21"/>
      <c r="M293" s="46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59"/>
      <c r="AM293" s="23"/>
      <c r="AN293" s="23"/>
      <c r="AO293" s="24"/>
      <c r="AQ293" s="35"/>
      <c r="AR293" s="35"/>
      <c r="AS293" s="35"/>
      <c r="AT293" s="35"/>
      <c r="AU293" s="35"/>
      <c r="AV293" s="35"/>
      <c r="AW293" s="35"/>
      <c r="AX293" s="35"/>
      <c r="AY293" s="35"/>
      <c r="BA293" s="35"/>
      <c r="BC293" s="56"/>
      <c r="BD293" s="55"/>
      <c r="BF293" s="89"/>
    </row>
    <row r="294" spans="1:58" s="25" customFormat="1" x14ac:dyDescent="0.3">
      <c r="A294" s="19"/>
      <c r="B294" s="19"/>
      <c r="C294" s="50"/>
      <c r="D294" s="50"/>
      <c r="E294" s="50"/>
      <c r="F294" s="51"/>
      <c r="G294" s="57"/>
      <c r="H294" s="51"/>
      <c r="I294" s="52"/>
      <c r="J294" s="20"/>
      <c r="K294" s="21"/>
      <c r="L294" s="21"/>
      <c r="M294" s="46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59"/>
      <c r="AM294" s="23"/>
      <c r="AN294" s="23"/>
      <c r="AO294" s="24"/>
      <c r="AQ294" s="35"/>
      <c r="AR294" s="35"/>
      <c r="AS294" s="35"/>
      <c r="AT294" s="35"/>
      <c r="AU294" s="35"/>
      <c r="AV294" s="35"/>
      <c r="AW294" s="35"/>
      <c r="AX294" s="35"/>
      <c r="AY294" s="35"/>
      <c r="BA294" s="35"/>
      <c r="BC294" s="56"/>
      <c r="BD294" s="55"/>
      <c r="BF294" s="89"/>
    </row>
    <row r="295" spans="1:58" s="25" customFormat="1" x14ac:dyDescent="0.3">
      <c r="A295" s="19"/>
      <c r="B295" s="19"/>
      <c r="C295" s="50"/>
      <c r="D295" s="50"/>
      <c r="E295" s="50"/>
      <c r="F295" s="51"/>
      <c r="G295" s="57"/>
      <c r="H295" s="51"/>
      <c r="I295" s="52"/>
      <c r="J295" s="20"/>
      <c r="K295" s="21"/>
      <c r="L295" s="21"/>
      <c r="M295" s="46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59"/>
      <c r="AM295" s="23"/>
      <c r="AN295" s="23"/>
      <c r="AO295" s="24"/>
      <c r="AQ295" s="35"/>
      <c r="AR295" s="35"/>
      <c r="AS295" s="35"/>
      <c r="AT295" s="35"/>
      <c r="AU295" s="35"/>
      <c r="AV295" s="35"/>
      <c r="AW295" s="35"/>
      <c r="AX295" s="35"/>
      <c r="AY295" s="35"/>
      <c r="BA295" s="35"/>
      <c r="BC295" s="56"/>
      <c r="BD295" s="55"/>
      <c r="BF295" s="89"/>
    </row>
    <row r="296" spans="1:58" s="25" customFormat="1" x14ac:dyDescent="0.3">
      <c r="A296" s="19"/>
      <c r="B296" s="19"/>
      <c r="C296" s="50"/>
      <c r="D296" s="50"/>
      <c r="E296" s="50"/>
      <c r="F296" s="51"/>
      <c r="G296" s="57"/>
      <c r="H296" s="51"/>
      <c r="I296" s="52"/>
      <c r="J296" s="20"/>
      <c r="K296" s="21"/>
      <c r="L296" s="21"/>
      <c r="M296" s="46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59"/>
      <c r="AM296" s="23"/>
      <c r="AN296" s="23"/>
      <c r="AO296" s="24"/>
      <c r="AQ296" s="35"/>
      <c r="AR296" s="35"/>
      <c r="AS296" s="35"/>
      <c r="AT296" s="35"/>
      <c r="AU296" s="35"/>
      <c r="AV296" s="35"/>
      <c r="AW296" s="35"/>
      <c r="AX296" s="35"/>
      <c r="AY296" s="35"/>
      <c r="BA296" s="35"/>
      <c r="BC296" s="56"/>
      <c r="BD296" s="55"/>
      <c r="BF296" s="89"/>
    </row>
    <row r="297" spans="1:58" s="25" customFormat="1" x14ac:dyDescent="0.3">
      <c r="A297" s="19"/>
      <c r="B297" s="42"/>
      <c r="C297" s="43"/>
      <c r="D297" s="43"/>
      <c r="E297" s="43"/>
      <c r="F297" s="44"/>
      <c r="G297" s="58"/>
      <c r="H297" s="44"/>
      <c r="I297" s="45"/>
      <c r="J297" s="62"/>
      <c r="K297" s="63"/>
      <c r="L297" s="63"/>
      <c r="M297" s="64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59"/>
      <c r="AM297" s="23"/>
      <c r="AN297" s="23"/>
      <c r="AO297" s="24"/>
      <c r="AQ297" s="35"/>
      <c r="AR297" s="35"/>
      <c r="AS297" s="35"/>
      <c r="AT297" s="35"/>
      <c r="AU297" s="35"/>
      <c r="AV297" s="35"/>
      <c r="AW297" s="35"/>
      <c r="AX297" s="35"/>
      <c r="AY297" s="35"/>
      <c r="BA297" s="35"/>
      <c r="BD297" s="55"/>
      <c r="BF297" s="89"/>
    </row>
    <row r="298" spans="1:58" s="25" customFormat="1" x14ac:dyDescent="0.3">
      <c r="A298" s="19"/>
      <c r="B298" s="19"/>
      <c r="C298" s="50"/>
      <c r="D298" s="50"/>
      <c r="E298" s="50"/>
      <c r="F298" s="51"/>
      <c r="G298" s="57"/>
      <c r="H298" s="51"/>
      <c r="I298" s="52"/>
      <c r="J298" s="20"/>
      <c r="K298" s="21"/>
      <c r="L298" s="21"/>
      <c r="M298" s="46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59"/>
      <c r="AM298" s="23"/>
      <c r="AN298" s="23"/>
      <c r="AO298" s="24"/>
      <c r="AQ298" s="35"/>
      <c r="AR298" s="35"/>
      <c r="AS298" s="35"/>
      <c r="AT298" s="35"/>
      <c r="AU298" s="35"/>
      <c r="AV298" s="35"/>
      <c r="AW298" s="35"/>
      <c r="AX298" s="35"/>
      <c r="AY298" s="35"/>
      <c r="BA298" s="35"/>
      <c r="BC298" s="56"/>
      <c r="BD298" s="55"/>
      <c r="BF298" s="89"/>
    </row>
    <row r="299" spans="1:58" s="25" customFormat="1" x14ac:dyDescent="0.3">
      <c r="A299" s="19"/>
      <c r="B299" s="19"/>
      <c r="C299" s="50"/>
      <c r="D299" s="50"/>
      <c r="E299" s="50"/>
      <c r="F299" s="51"/>
      <c r="G299" s="57"/>
      <c r="H299" s="51"/>
      <c r="I299" s="52"/>
      <c r="J299" s="20"/>
      <c r="K299" s="21"/>
      <c r="L299" s="21"/>
      <c r="M299" s="46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59"/>
      <c r="AM299" s="23"/>
      <c r="AN299" s="23"/>
      <c r="AO299" s="24"/>
      <c r="AQ299" s="35"/>
      <c r="AR299" s="35"/>
      <c r="AS299" s="35"/>
      <c r="AT299" s="35"/>
      <c r="AU299" s="35"/>
      <c r="AV299" s="35"/>
      <c r="AW299" s="35"/>
      <c r="AX299" s="35"/>
      <c r="AY299" s="35"/>
      <c r="BA299" s="35"/>
      <c r="BC299" s="56"/>
      <c r="BD299" s="55"/>
      <c r="BF299" s="89"/>
    </row>
    <row r="300" spans="1:58" s="25" customFormat="1" x14ac:dyDescent="0.3">
      <c r="A300" s="19"/>
      <c r="B300" s="19"/>
      <c r="C300" s="50"/>
      <c r="D300" s="50"/>
      <c r="E300" s="50"/>
      <c r="F300" s="51"/>
      <c r="G300" s="57"/>
      <c r="H300" s="51"/>
      <c r="I300" s="52"/>
      <c r="J300" s="20"/>
      <c r="K300" s="21"/>
      <c r="L300" s="21"/>
      <c r="M300" s="46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59"/>
      <c r="AM300" s="23"/>
      <c r="AN300" s="23"/>
      <c r="AO300" s="24"/>
      <c r="AQ300" s="35"/>
      <c r="AR300" s="35"/>
      <c r="AS300" s="35"/>
      <c r="AT300" s="35"/>
      <c r="AU300" s="35"/>
      <c r="AV300" s="35"/>
      <c r="AW300" s="35"/>
      <c r="AX300" s="35"/>
      <c r="AY300" s="35"/>
      <c r="BA300" s="35"/>
      <c r="BC300" s="56"/>
      <c r="BD300" s="55"/>
      <c r="BF300" s="89"/>
    </row>
    <row r="301" spans="1:58" s="25" customFormat="1" x14ac:dyDescent="0.3">
      <c r="A301" s="19"/>
      <c r="B301" s="19"/>
      <c r="C301" s="50"/>
      <c r="D301" s="50"/>
      <c r="E301" s="50"/>
      <c r="F301" s="51"/>
      <c r="G301" s="57"/>
      <c r="H301" s="51"/>
      <c r="I301" s="52"/>
      <c r="J301" s="20"/>
      <c r="K301" s="21"/>
      <c r="L301" s="21"/>
      <c r="M301" s="46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59"/>
      <c r="AM301" s="23"/>
      <c r="AN301" s="23"/>
      <c r="AO301" s="24"/>
      <c r="AQ301" s="35"/>
      <c r="AR301" s="35"/>
      <c r="AS301" s="35"/>
      <c r="AT301" s="35"/>
      <c r="AU301" s="35"/>
      <c r="AV301" s="35"/>
      <c r="AW301" s="35"/>
      <c r="AX301" s="35"/>
      <c r="AY301" s="35"/>
      <c r="BA301" s="35"/>
      <c r="BC301" s="56"/>
      <c r="BD301" s="55"/>
      <c r="BF301" s="89"/>
    </row>
    <row r="302" spans="1:58" s="25" customFormat="1" x14ac:dyDescent="0.3">
      <c r="A302" s="19"/>
      <c r="B302" s="19"/>
      <c r="C302" s="50"/>
      <c r="D302" s="50"/>
      <c r="E302" s="50"/>
      <c r="F302" s="51"/>
      <c r="G302" s="57"/>
      <c r="H302" s="51"/>
      <c r="I302" s="52"/>
      <c r="J302" s="20"/>
      <c r="K302" s="21"/>
      <c r="L302" s="21"/>
      <c r="M302" s="46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59"/>
      <c r="AM302" s="23"/>
      <c r="AN302" s="23"/>
      <c r="AO302" s="24"/>
      <c r="AQ302" s="35"/>
      <c r="AR302" s="35"/>
      <c r="AS302" s="35"/>
      <c r="AT302" s="35"/>
      <c r="AU302" s="35"/>
      <c r="AV302" s="35"/>
      <c r="AW302" s="35"/>
      <c r="AX302" s="35"/>
      <c r="AY302" s="35"/>
      <c r="BA302" s="35"/>
      <c r="BC302" s="56"/>
      <c r="BD302" s="55"/>
      <c r="BF302" s="89"/>
    </row>
    <row r="303" spans="1:58" s="25" customFormat="1" x14ac:dyDescent="0.3">
      <c r="A303" s="19"/>
      <c r="B303" s="19"/>
      <c r="C303" s="50"/>
      <c r="D303" s="50"/>
      <c r="E303" s="50"/>
      <c r="F303" s="51"/>
      <c r="G303" s="57"/>
      <c r="H303" s="51"/>
      <c r="I303" s="52"/>
      <c r="J303" s="20"/>
      <c r="K303" s="21"/>
      <c r="L303" s="21"/>
      <c r="M303" s="46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59"/>
      <c r="AM303" s="23"/>
      <c r="AN303" s="23"/>
      <c r="AO303" s="24"/>
      <c r="AQ303" s="35"/>
      <c r="AR303" s="35"/>
      <c r="AS303" s="35"/>
      <c r="AT303" s="35"/>
      <c r="AU303" s="35"/>
      <c r="AV303" s="35"/>
      <c r="AW303" s="35"/>
      <c r="AX303" s="35"/>
      <c r="AY303" s="35"/>
      <c r="BA303" s="35"/>
      <c r="BC303" s="56"/>
      <c r="BD303" s="55"/>
      <c r="BF303" s="89"/>
    </row>
    <row r="304" spans="1:58" s="25" customFormat="1" x14ac:dyDescent="0.3">
      <c r="A304" s="19"/>
      <c r="B304" s="19"/>
      <c r="C304" s="50"/>
      <c r="D304" s="50"/>
      <c r="E304" s="50"/>
      <c r="F304" s="51"/>
      <c r="G304" s="57"/>
      <c r="H304" s="51"/>
      <c r="I304" s="52"/>
      <c r="J304" s="20"/>
      <c r="K304" s="21"/>
      <c r="L304" s="21"/>
      <c r="M304" s="46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59"/>
      <c r="AM304" s="23"/>
      <c r="AN304" s="23"/>
      <c r="AO304" s="24"/>
      <c r="AQ304" s="35"/>
      <c r="AR304" s="35"/>
      <c r="AS304" s="35"/>
      <c r="AT304" s="35"/>
      <c r="AU304" s="35"/>
      <c r="AV304" s="35"/>
      <c r="AW304" s="35"/>
      <c r="AX304" s="35"/>
      <c r="AY304" s="35"/>
      <c r="BA304" s="35"/>
      <c r="BC304" s="56"/>
      <c r="BD304" s="55"/>
      <c r="BF304" s="89"/>
    </row>
    <row r="305" spans="1:58" s="25" customFormat="1" x14ac:dyDescent="0.3">
      <c r="A305" s="19"/>
      <c r="B305" s="19"/>
      <c r="C305" s="50"/>
      <c r="D305" s="50"/>
      <c r="E305" s="50"/>
      <c r="F305" s="51"/>
      <c r="G305" s="57"/>
      <c r="H305" s="51"/>
      <c r="I305" s="52"/>
      <c r="J305" s="20"/>
      <c r="K305" s="21"/>
      <c r="L305" s="21"/>
      <c r="M305" s="46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59"/>
      <c r="AM305" s="23"/>
      <c r="AN305" s="23"/>
      <c r="AO305" s="24"/>
      <c r="AQ305" s="35"/>
      <c r="AR305" s="35"/>
      <c r="AS305" s="35"/>
      <c r="AT305" s="35"/>
      <c r="AU305" s="35"/>
      <c r="AV305" s="35"/>
      <c r="AW305" s="35"/>
      <c r="AX305" s="35"/>
      <c r="AY305" s="35"/>
      <c r="BA305" s="35"/>
      <c r="BC305" s="56"/>
      <c r="BD305" s="55"/>
      <c r="BF305" s="89"/>
    </row>
    <row r="306" spans="1:58" s="25" customFormat="1" x14ac:dyDescent="0.3">
      <c r="A306" s="19"/>
      <c r="B306" s="19"/>
      <c r="C306" s="50"/>
      <c r="D306" s="50"/>
      <c r="E306" s="50"/>
      <c r="F306" s="51"/>
      <c r="G306" s="57"/>
      <c r="H306" s="51"/>
      <c r="I306" s="52"/>
      <c r="J306" s="20"/>
      <c r="K306" s="21"/>
      <c r="L306" s="21"/>
      <c r="M306" s="46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59"/>
      <c r="AM306" s="23"/>
      <c r="AN306" s="23"/>
      <c r="AO306" s="24"/>
      <c r="AQ306" s="35"/>
      <c r="AR306" s="35"/>
      <c r="AS306" s="35"/>
      <c r="AT306" s="35"/>
      <c r="AU306" s="35"/>
      <c r="AV306" s="35"/>
      <c r="AW306" s="35"/>
      <c r="AX306" s="35"/>
      <c r="AY306" s="35"/>
      <c r="BA306" s="35"/>
      <c r="BC306" s="56"/>
      <c r="BD306" s="55"/>
      <c r="BF306" s="89"/>
    </row>
    <row r="307" spans="1:58" s="25" customFormat="1" x14ac:dyDescent="0.3">
      <c r="A307" s="19"/>
      <c r="B307" s="19"/>
      <c r="C307" s="50"/>
      <c r="D307" s="50"/>
      <c r="E307" s="50"/>
      <c r="F307" s="51"/>
      <c r="G307" s="57"/>
      <c r="H307" s="51"/>
      <c r="I307" s="52"/>
      <c r="J307" s="20"/>
      <c r="K307" s="21"/>
      <c r="L307" s="21"/>
      <c r="M307" s="46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59"/>
      <c r="AM307" s="23"/>
      <c r="AN307" s="23"/>
      <c r="AO307" s="24"/>
      <c r="AQ307" s="35"/>
      <c r="AR307" s="35"/>
      <c r="AS307" s="35"/>
      <c r="AT307" s="35"/>
      <c r="AU307" s="35"/>
      <c r="AV307" s="35"/>
      <c r="AW307" s="35"/>
      <c r="AX307" s="35"/>
      <c r="AY307" s="35"/>
      <c r="BA307" s="35"/>
      <c r="BC307" s="56"/>
      <c r="BD307" s="55"/>
      <c r="BF307" s="89"/>
    </row>
    <row r="308" spans="1:58" s="25" customFormat="1" x14ac:dyDescent="0.3">
      <c r="A308" s="19"/>
      <c r="B308" s="19"/>
      <c r="C308" s="50"/>
      <c r="D308" s="50"/>
      <c r="E308" s="50"/>
      <c r="F308" s="51"/>
      <c r="G308" s="57"/>
      <c r="H308" s="51"/>
      <c r="I308" s="52"/>
      <c r="J308" s="20"/>
      <c r="K308" s="21"/>
      <c r="L308" s="21"/>
      <c r="M308" s="46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59"/>
      <c r="AM308" s="23"/>
      <c r="AN308" s="23"/>
      <c r="AO308" s="24"/>
      <c r="AQ308" s="35"/>
      <c r="AR308" s="35"/>
      <c r="AS308" s="35"/>
      <c r="AT308" s="35"/>
      <c r="AU308" s="35"/>
      <c r="AV308" s="35"/>
      <c r="AW308" s="35"/>
      <c r="AX308" s="35"/>
      <c r="AY308" s="35"/>
      <c r="BA308" s="35"/>
      <c r="BC308" s="56"/>
      <c r="BD308" s="55"/>
      <c r="BF308" s="89"/>
    </row>
    <row r="309" spans="1:58" s="25" customFormat="1" x14ac:dyDescent="0.3">
      <c r="A309" s="19"/>
      <c r="B309" s="19"/>
      <c r="C309" s="50"/>
      <c r="D309" s="50"/>
      <c r="E309" s="50"/>
      <c r="F309" s="51"/>
      <c r="G309" s="57"/>
      <c r="H309" s="51"/>
      <c r="I309" s="52"/>
      <c r="J309" s="20"/>
      <c r="K309" s="21"/>
      <c r="L309" s="21"/>
      <c r="M309" s="46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59"/>
      <c r="AM309" s="23"/>
      <c r="AN309" s="23"/>
      <c r="AO309" s="24"/>
      <c r="AQ309" s="35"/>
      <c r="AR309" s="35"/>
      <c r="AS309" s="35"/>
      <c r="AT309" s="35"/>
      <c r="AU309" s="35"/>
      <c r="AV309" s="35"/>
      <c r="AW309" s="35"/>
      <c r="AX309" s="35"/>
      <c r="AY309" s="35"/>
      <c r="BA309" s="35"/>
      <c r="BC309" s="56"/>
      <c r="BD309" s="55"/>
      <c r="BF309" s="89"/>
    </row>
    <row r="310" spans="1:58" s="25" customFormat="1" x14ac:dyDescent="0.3">
      <c r="A310" s="19"/>
      <c r="B310" s="19"/>
      <c r="C310" s="50"/>
      <c r="D310" s="50"/>
      <c r="E310" s="50"/>
      <c r="F310" s="51"/>
      <c r="G310" s="57"/>
      <c r="H310" s="51"/>
      <c r="I310" s="52"/>
      <c r="J310" s="20"/>
      <c r="K310" s="21"/>
      <c r="L310" s="21"/>
      <c r="M310" s="46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59"/>
      <c r="AM310" s="23"/>
      <c r="AN310" s="23"/>
      <c r="AO310" s="24"/>
      <c r="AQ310" s="35"/>
      <c r="AR310" s="35"/>
      <c r="AS310" s="35"/>
      <c r="AT310" s="35"/>
      <c r="AU310" s="35"/>
      <c r="AV310" s="35"/>
      <c r="AW310" s="35"/>
      <c r="AX310" s="35"/>
      <c r="AY310" s="35"/>
      <c r="BA310" s="35"/>
      <c r="BC310" s="56"/>
      <c r="BD310" s="55"/>
      <c r="BF310" s="89"/>
    </row>
    <row r="311" spans="1:58" s="25" customFormat="1" x14ac:dyDescent="0.3">
      <c r="A311" s="19"/>
      <c r="B311" s="19"/>
      <c r="C311" s="50"/>
      <c r="D311" s="50"/>
      <c r="E311" s="50"/>
      <c r="F311" s="51"/>
      <c r="G311" s="57"/>
      <c r="H311" s="51"/>
      <c r="I311" s="52"/>
      <c r="J311" s="20"/>
      <c r="K311" s="21"/>
      <c r="L311" s="21"/>
      <c r="M311" s="46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59"/>
      <c r="AM311" s="23"/>
      <c r="AN311" s="23"/>
      <c r="AO311" s="24"/>
      <c r="AQ311" s="35"/>
      <c r="AR311" s="35"/>
      <c r="AS311" s="35"/>
      <c r="AT311" s="35"/>
      <c r="AU311" s="35"/>
      <c r="AV311" s="35"/>
      <c r="AW311" s="35"/>
      <c r="AX311" s="35"/>
      <c r="AY311" s="35"/>
      <c r="BA311" s="35"/>
      <c r="BC311" s="56"/>
      <c r="BD311" s="55"/>
      <c r="BF311" s="89"/>
    </row>
    <row r="312" spans="1:58" s="25" customFormat="1" x14ac:dyDescent="0.3">
      <c r="A312" s="19"/>
      <c r="B312" s="19"/>
      <c r="C312" s="50"/>
      <c r="D312" s="50"/>
      <c r="E312" s="50"/>
      <c r="F312" s="51"/>
      <c r="G312" s="57"/>
      <c r="H312" s="51"/>
      <c r="I312" s="52"/>
      <c r="J312" s="20"/>
      <c r="K312" s="21"/>
      <c r="L312" s="21"/>
      <c r="M312" s="46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59"/>
      <c r="AM312" s="23"/>
      <c r="AN312" s="23"/>
      <c r="AO312" s="24"/>
      <c r="AQ312" s="35"/>
      <c r="AR312" s="35"/>
      <c r="AS312" s="35"/>
      <c r="AT312" s="35"/>
      <c r="AU312" s="35"/>
      <c r="AV312" s="35"/>
      <c r="AW312" s="35"/>
      <c r="AX312" s="35"/>
      <c r="AY312" s="35"/>
      <c r="BA312" s="35"/>
      <c r="BC312" s="56"/>
      <c r="BD312" s="55"/>
      <c r="BF312" s="89"/>
    </row>
    <row r="313" spans="1:58" s="25" customFormat="1" x14ac:dyDescent="0.3">
      <c r="A313" s="19"/>
      <c r="B313" s="19"/>
      <c r="C313" s="50"/>
      <c r="D313" s="50"/>
      <c r="E313" s="50"/>
      <c r="F313" s="51"/>
      <c r="G313" s="57"/>
      <c r="H313" s="51"/>
      <c r="I313" s="52"/>
      <c r="J313" s="20"/>
      <c r="K313" s="21"/>
      <c r="L313" s="21"/>
      <c r="M313" s="46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59"/>
      <c r="AM313" s="23"/>
      <c r="AN313" s="23"/>
      <c r="AO313" s="24"/>
      <c r="AQ313" s="35"/>
      <c r="AR313" s="35"/>
      <c r="AS313" s="35"/>
      <c r="AT313" s="35"/>
      <c r="AU313" s="35"/>
      <c r="AV313" s="35"/>
      <c r="AW313" s="35"/>
      <c r="AX313" s="35"/>
      <c r="AY313" s="35"/>
      <c r="BA313" s="35"/>
      <c r="BC313" s="56"/>
      <c r="BD313" s="55"/>
      <c r="BF313" s="89"/>
    </row>
    <row r="314" spans="1:58" s="25" customFormat="1" x14ac:dyDescent="0.3">
      <c r="A314" s="19"/>
      <c r="B314" s="19"/>
      <c r="C314" s="50"/>
      <c r="D314" s="50"/>
      <c r="E314" s="50"/>
      <c r="F314" s="51"/>
      <c r="G314" s="57"/>
      <c r="H314" s="51"/>
      <c r="I314" s="52"/>
      <c r="J314" s="20"/>
      <c r="K314" s="21"/>
      <c r="L314" s="21"/>
      <c r="M314" s="46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59"/>
      <c r="AM314" s="23"/>
      <c r="AN314" s="23"/>
      <c r="AO314" s="24"/>
      <c r="AQ314" s="35"/>
      <c r="AR314" s="35"/>
      <c r="AS314" s="35"/>
      <c r="AT314" s="35"/>
      <c r="AU314" s="35"/>
      <c r="AV314" s="35"/>
      <c r="AW314" s="35"/>
      <c r="AX314" s="35"/>
      <c r="AY314" s="35"/>
      <c r="BA314" s="35"/>
      <c r="BC314" s="56"/>
      <c r="BD314" s="55"/>
      <c r="BF314" s="89"/>
    </row>
    <row r="315" spans="1:58" s="25" customFormat="1" x14ac:dyDescent="0.3">
      <c r="A315" s="19"/>
      <c r="B315" s="19"/>
      <c r="C315" s="50"/>
      <c r="D315" s="50"/>
      <c r="E315" s="50"/>
      <c r="F315" s="51"/>
      <c r="G315" s="57"/>
      <c r="H315" s="51"/>
      <c r="I315" s="52"/>
      <c r="J315" s="20"/>
      <c r="K315" s="21"/>
      <c r="L315" s="21"/>
      <c r="M315" s="46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59"/>
      <c r="AM315" s="23"/>
      <c r="AN315" s="23"/>
      <c r="AO315" s="24"/>
      <c r="AQ315" s="35"/>
      <c r="AR315" s="35"/>
      <c r="AS315" s="35"/>
      <c r="AT315" s="35"/>
      <c r="AU315" s="35"/>
      <c r="AV315" s="35"/>
      <c r="AW315" s="35"/>
      <c r="AX315" s="35"/>
      <c r="AY315" s="35"/>
      <c r="BA315" s="35"/>
      <c r="BC315" s="56"/>
      <c r="BD315" s="55"/>
      <c r="BF315" s="89"/>
    </row>
    <row r="316" spans="1:58" s="25" customFormat="1" x14ac:dyDescent="0.3">
      <c r="A316" s="19"/>
      <c r="B316" s="19"/>
      <c r="C316" s="50"/>
      <c r="D316" s="50"/>
      <c r="E316" s="50"/>
      <c r="F316" s="51"/>
      <c r="G316" s="57"/>
      <c r="H316" s="51"/>
      <c r="I316" s="52"/>
      <c r="J316" s="20"/>
      <c r="K316" s="21"/>
      <c r="L316" s="21"/>
      <c r="M316" s="46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59"/>
      <c r="AM316" s="23"/>
      <c r="AN316" s="23"/>
      <c r="AO316" s="24"/>
      <c r="AQ316" s="35"/>
      <c r="AR316" s="35"/>
      <c r="AS316" s="35"/>
      <c r="AT316" s="35"/>
      <c r="AU316" s="35"/>
      <c r="AV316" s="35"/>
      <c r="AW316" s="35"/>
      <c r="AX316" s="35"/>
      <c r="AY316" s="35"/>
      <c r="BA316" s="35"/>
      <c r="BC316" s="56"/>
      <c r="BD316" s="55"/>
      <c r="BF316" s="89"/>
    </row>
    <row r="317" spans="1:58" s="25" customFormat="1" x14ac:dyDescent="0.3">
      <c r="A317" s="19"/>
      <c r="B317" s="19"/>
      <c r="C317" s="50"/>
      <c r="D317" s="50"/>
      <c r="E317" s="50"/>
      <c r="F317" s="51"/>
      <c r="G317" s="57"/>
      <c r="H317" s="51"/>
      <c r="I317" s="52"/>
      <c r="J317" s="20"/>
      <c r="K317" s="21"/>
      <c r="L317" s="21"/>
      <c r="M317" s="46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59"/>
      <c r="AM317" s="23"/>
      <c r="AN317" s="23"/>
      <c r="AO317" s="24"/>
      <c r="AQ317" s="35"/>
      <c r="AR317" s="35"/>
      <c r="AS317" s="35"/>
      <c r="AT317" s="35"/>
      <c r="AU317" s="35"/>
      <c r="AV317" s="35"/>
      <c r="AW317" s="35"/>
      <c r="AX317" s="35"/>
      <c r="AY317" s="35"/>
      <c r="BA317" s="35"/>
      <c r="BC317" s="56"/>
      <c r="BD317" s="55"/>
      <c r="BF317" s="89"/>
    </row>
    <row r="318" spans="1:58" s="25" customFormat="1" x14ac:dyDescent="0.3">
      <c r="A318" s="19"/>
      <c r="B318" s="19"/>
      <c r="C318" s="50"/>
      <c r="D318" s="50"/>
      <c r="E318" s="50"/>
      <c r="F318" s="51"/>
      <c r="G318" s="57"/>
      <c r="H318" s="51"/>
      <c r="I318" s="52"/>
      <c r="J318" s="20"/>
      <c r="K318" s="21"/>
      <c r="L318" s="21"/>
      <c r="M318" s="46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59"/>
      <c r="AM318" s="23"/>
      <c r="AN318" s="23"/>
      <c r="AO318" s="24"/>
      <c r="AQ318" s="35"/>
      <c r="AR318" s="35"/>
      <c r="AS318" s="35"/>
      <c r="AT318" s="35"/>
      <c r="AU318" s="35"/>
      <c r="AV318" s="35"/>
      <c r="AW318" s="35"/>
      <c r="AX318" s="35"/>
      <c r="AY318" s="35"/>
      <c r="BA318" s="35"/>
      <c r="BC318" s="56"/>
      <c r="BD318" s="55"/>
      <c r="BF318" s="89"/>
    </row>
    <row r="319" spans="1:58" s="25" customFormat="1" x14ac:dyDescent="0.3">
      <c r="A319" s="19"/>
      <c r="B319" s="19"/>
      <c r="C319" s="50"/>
      <c r="D319" s="50"/>
      <c r="E319" s="50"/>
      <c r="F319" s="51"/>
      <c r="G319" s="57"/>
      <c r="H319" s="51"/>
      <c r="I319" s="52"/>
      <c r="J319" s="20"/>
      <c r="K319" s="21"/>
      <c r="L319" s="21"/>
      <c r="M319" s="46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59"/>
      <c r="AM319" s="23"/>
      <c r="AN319" s="23"/>
      <c r="AO319" s="24"/>
      <c r="AQ319" s="35"/>
      <c r="AR319" s="35"/>
      <c r="AS319" s="35"/>
      <c r="AT319" s="35"/>
      <c r="AU319" s="35"/>
      <c r="AV319" s="35"/>
      <c r="AW319" s="35"/>
      <c r="AX319" s="35"/>
      <c r="AY319" s="35"/>
      <c r="BA319" s="35"/>
      <c r="BC319" s="56"/>
      <c r="BD319" s="55"/>
      <c r="BF319" s="89"/>
    </row>
    <row r="320" spans="1:58" s="25" customFormat="1" x14ac:dyDescent="0.3">
      <c r="A320" s="19"/>
      <c r="B320" s="19"/>
      <c r="C320" s="50"/>
      <c r="D320" s="50"/>
      <c r="E320" s="50"/>
      <c r="F320" s="51"/>
      <c r="G320" s="57"/>
      <c r="H320" s="51"/>
      <c r="I320" s="52"/>
      <c r="J320" s="20"/>
      <c r="K320" s="21"/>
      <c r="L320" s="21"/>
      <c r="M320" s="46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59"/>
      <c r="AM320" s="23"/>
      <c r="AN320" s="23"/>
      <c r="AO320" s="24"/>
      <c r="AQ320" s="35"/>
      <c r="AR320" s="35"/>
      <c r="AS320" s="35"/>
      <c r="AT320" s="35"/>
      <c r="AU320" s="35"/>
      <c r="AV320" s="35"/>
      <c r="AW320" s="35"/>
      <c r="AX320" s="35"/>
      <c r="AY320" s="35"/>
      <c r="BA320" s="35"/>
      <c r="BC320" s="56"/>
      <c r="BD320" s="55"/>
      <c r="BF320" s="89"/>
    </row>
    <row r="321" spans="1:58" s="25" customFormat="1" x14ac:dyDescent="0.3">
      <c r="A321" s="19"/>
      <c r="B321" s="19"/>
      <c r="C321" s="50"/>
      <c r="D321" s="50"/>
      <c r="E321" s="50"/>
      <c r="F321" s="51"/>
      <c r="G321" s="57"/>
      <c r="H321" s="51"/>
      <c r="I321" s="52"/>
      <c r="J321" s="20"/>
      <c r="K321" s="21"/>
      <c r="L321" s="21"/>
      <c r="M321" s="46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59"/>
      <c r="AM321" s="23"/>
      <c r="AN321" s="23"/>
      <c r="AO321" s="24"/>
      <c r="AQ321" s="35"/>
      <c r="AR321" s="35"/>
      <c r="AS321" s="35"/>
      <c r="AT321" s="35"/>
      <c r="AU321" s="35"/>
      <c r="AV321" s="35"/>
      <c r="AW321" s="35"/>
      <c r="AX321" s="35"/>
      <c r="AY321" s="35"/>
      <c r="BA321" s="35"/>
      <c r="BC321" s="56"/>
      <c r="BD321" s="55"/>
      <c r="BF321" s="89"/>
    </row>
    <row r="322" spans="1:58" s="25" customFormat="1" x14ac:dyDescent="0.3">
      <c r="A322" s="19"/>
      <c r="B322" s="19"/>
      <c r="C322" s="50"/>
      <c r="D322" s="50"/>
      <c r="E322" s="50"/>
      <c r="F322" s="51"/>
      <c r="G322" s="57"/>
      <c r="H322" s="51"/>
      <c r="I322" s="52"/>
      <c r="J322" s="20"/>
      <c r="K322" s="21"/>
      <c r="L322" s="21"/>
      <c r="M322" s="46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59"/>
      <c r="AM322" s="23"/>
      <c r="AN322" s="23"/>
      <c r="AO322" s="24"/>
      <c r="AQ322" s="35"/>
      <c r="AR322" s="35"/>
      <c r="AS322" s="35"/>
      <c r="AT322" s="35"/>
      <c r="AU322" s="35"/>
      <c r="AV322" s="35"/>
      <c r="AW322" s="35"/>
      <c r="AX322" s="35"/>
      <c r="AY322" s="35"/>
      <c r="BA322" s="35"/>
      <c r="BC322" s="56"/>
      <c r="BD322" s="55"/>
      <c r="BF322" s="89"/>
    </row>
    <row r="323" spans="1:58" s="25" customFormat="1" x14ac:dyDescent="0.3">
      <c r="A323" s="19"/>
      <c r="B323" s="19"/>
      <c r="C323" s="50"/>
      <c r="D323" s="50"/>
      <c r="E323" s="50"/>
      <c r="F323" s="51"/>
      <c r="G323" s="57"/>
      <c r="H323" s="51"/>
      <c r="I323" s="52"/>
      <c r="J323" s="20"/>
      <c r="K323" s="21"/>
      <c r="L323" s="21"/>
      <c r="M323" s="46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59"/>
      <c r="AM323" s="23"/>
      <c r="AN323" s="23"/>
      <c r="AO323" s="24"/>
      <c r="AQ323" s="35"/>
      <c r="AR323" s="35"/>
      <c r="AS323" s="35"/>
      <c r="AT323" s="35"/>
      <c r="AU323" s="35"/>
      <c r="AV323" s="35"/>
      <c r="AW323" s="35"/>
      <c r="AX323" s="35"/>
      <c r="AY323" s="35"/>
      <c r="BA323" s="35"/>
      <c r="BC323" s="56"/>
      <c r="BD323" s="55"/>
      <c r="BF323" s="89"/>
    </row>
    <row r="324" spans="1:58" s="25" customFormat="1" x14ac:dyDescent="0.3">
      <c r="A324" s="19"/>
      <c r="B324" s="19"/>
      <c r="C324" s="50"/>
      <c r="D324" s="50"/>
      <c r="E324" s="50"/>
      <c r="F324" s="51"/>
      <c r="G324" s="57"/>
      <c r="H324" s="51"/>
      <c r="I324" s="52"/>
      <c r="J324" s="20"/>
      <c r="K324" s="21"/>
      <c r="L324" s="21"/>
      <c r="M324" s="46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59"/>
      <c r="AM324" s="23"/>
      <c r="AN324" s="23"/>
      <c r="AO324" s="24"/>
      <c r="AQ324" s="35"/>
      <c r="AR324" s="35"/>
      <c r="AS324" s="35"/>
      <c r="AT324" s="35"/>
      <c r="AU324" s="35"/>
      <c r="AV324" s="35"/>
      <c r="AW324" s="35"/>
      <c r="AX324" s="35"/>
      <c r="AY324" s="35"/>
      <c r="BA324" s="35"/>
      <c r="BC324" s="56"/>
      <c r="BD324" s="55"/>
      <c r="BF324" s="89"/>
    </row>
    <row r="325" spans="1:58" s="25" customFormat="1" x14ac:dyDescent="0.3">
      <c r="A325" s="19"/>
      <c r="B325" s="19"/>
      <c r="C325" s="50"/>
      <c r="D325" s="50"/>
      <c r="E325" s="50"/>
      <c r="F325" s="51"/>
      <c r="G325" s="57"/>
      <c r="H325" s="51"/>
      <c r="I325" s="52"/>
      <c r="J325" s="20"/>
      <c r="K325" s="21"/>
      <c r="L325" s="21"/>
      <c r="M325" s="46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59"/>
      <c r="AM325" s="23"/>
      <c r="AN325" s="23"/>
      <c r="AO325" s="24"/>
      <c r="AQ325" s="35"/>
      <c r="AR325" s="35"/>
      <c r="AS325" s="35"/>
      <c r="AT325" s="35"/>
      <c r="AU325" s="35"/>
      <c r="AV325" s="35"/>
      <c r="AW325" s="35"/>
      <c r="AX325" s="35"/>
      <c r="AY325" s="35"/>
      <c r="BA325" s="35"/>
      <c r="BC325" s="56"/>
      <c r="BD325" s="55"/>
      <c r="BF325" s="89"/>
    </row>
    <row r="326" spans="1:58" s="25" customFormat="1" x14ac:dyDescent="0.3">
      <c r="A326" s="19"/>
      <c r="B326" s="19"/>
      <c r="C326" s="50"/>
      <c r="D326" s="50"/>
      <c r="E326" s="50"/>
      <c r="F326" s="51"/>
      <c r="G326" s="57"/>
      <c r="H326" s="51"/>
      <c r="I326" s="52"/>
      <c r="J326" s="20"/>
      <c r="K326" s="21"/>
      <c r="L326" s="21"/>
      <c r="M326" s="46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59"/>
      <c r="AM326" s="23"/>
      <c r="AN326" s="23"/>
      <c r="AO326" s="24"/>
      <c r="AQ326" s="35"/>
      <c r="AR326" s="35"/>
      <c r="AS326" s="35"/>
      <c r="AT326" s="35"/>
      <c r="AU326" s="35"/>
      <c r="AV326" s="35"/>
      <c r="AW326" s="35"/>
      <c r="AX326" s="35"/>
      <c r="AY326" s="35"/>
      <c r="BA326" s="35"/>
      <c r="BC326" s="56"/>
      <c r="BD326" s="55"/>
      <c r="BF326" s="89"/>
    </row>
    <row r="327" spans="1:58" s="25" customFormat="1" x14ac:dyDescent="0.3">
      <c r="A327" s="19"/>
      <c r="B327" s="19"/>
      <c r="C327" s="50"/>
      <c r="D327" s="50"/>
      <c r="E327" s="50"/>
      <c r="F327" s="51"/>
      <c r="G327" s="57"/>
      <c r="H327" s="51"/>
      <c r="I327" s="52"/>
      <c r="J327" s="20"/>
      <c r="K327" s="21"/>
      <c r="L327" s="21"/>
      <c r="M327" s="46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59"/>
      <c r="AM327" s="23"/>
      <c r="AN327" s="23"/>
      <c r="AO327" s="24"/>
      <c r="AQ327" s="35"/>
      <c r="AR327" s="35"/>
      <c r="AS327" s="35"/>
      <c r="AT327" s="35"/>
      <c r="AU327" s="35"/>
      <c r="AV327" s="35"/>
      <c r="AW327" s="35"/>
      <c r="AX327" s="35"/>
      <c r="AY327" s="35"/>
      <c r="BA327" s="35"/>
      <c r="BC327" s="56"/>
      <c r="BD327" s="55"/>
      <c r="BF327" s="89"/>
    </row>
    <row r="328" spans="1:58" s="25" customFormat="1" x14ac:dyDescent="0.3">
      <c r="A328" s="19"/>
      <c r="B328" s="19"/>
      <c r="C328" s="50"/>
      <c r="D328" s="50"/>
      <c r="E328" s="50"/>
      <c r="F328" s="51"/>
      <c r="G328" s="57"/>
      <c r="H328" s="51"/>
      <c r="I328" s="52"/>
      <c r="J328" s="20"/>
      <c r="K328" s="21"/>
      <c r="L328" s="21"/>
      <c r="M328" s="46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59"/>
      <c r="AM328" s="23"/>
      <c r="AN328" s="23"/>
      <c r="AO328" s="24"/>
      <c r="AQ328" s="35"/>
      <c r="AR328" s="35"/>
      <c r="AS328" s="35"/>
      <c r="AT328" s="35"/>
      <c r="AU328" s="35"/>
      <c r="AV328" s="35"/>
      <c r="AW328" s="35"/>
      <c r="AX328" s="35"/>
      <c r="AY328" s="35"/>
      <c r="BA328" s="35"/>
      <c r="BC328" s="56"/>
      <c r="BD328" s="55"/>
      <c r="BF328" s="89"/>
    </row>
    <row r="329" spans="1:58" s="25" customFormat="1" x14ac:dyDescent="0.3">
      <c r="A329" s="19"/>
      <c r="B329" s="19"/>
      <c r="C329" s="50"/>
      <c r="D329" s="50"/>
      <c r="E329" s="50"/>
      <c r="F329" s="51"/>
      <c r="G329" s="57"/>
      <c r="H329" s="51"/>
      <c r="I329" s="52"/>
      <c r="J329" s="20"/>
      <c r="K329" s="21"/>
      <c r="L329" s="21"/>
      <c r="M329" s="46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59"/>
      <c r="AM329" s="23"/>
      <c r="AN329" s="23"/>
      <c r="AO329" s="24"/>
      <c r="AQ329" s="35"/>
      <c r="AR329" s="35"/>
      <c r="AS329" s="35"/>
      <c r="AT329" s="35"/>
      <c r="AU329" s="35"/>
      <c r="AV329" s="35"/>
      <c r="AW329" s="35"/>
      <c r="AX329" s="35"/>
      <c r="AY329" s="35"/>
      <c r="BA329" s="35"/>
      <c r="BC329" s="56"/>
      <c r="BD329" s="55"/>
      <c r="BF329" s="89"/>
    </row>
    <row r="330" spans="1:58" s="25" customFormat="1" x14ac:dyDescent="0.3">
      <c r="A330" s="19"/>
      <c r="B330" s="19"/>
      <c r="C330" s="50"/>
      <c r="D330" s="50"/>
      <c r="E330" s="50"/>
      <c r="F330" s="51"/>
      <c r="G330" s="57"/>
      <c r="H330" s="51"/>
      <c r="I330" s="52"/>
      <c r="J330" s="20"/>
      <c r="K330" s="21"/>
      <c r="L330" s="21"/>
      <c r="M330" s="46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59"/>
      <c r="AM330" s="23"/>
      <c r="AN330" s="23"/>
      <c r="AO330" s="24"/>
      <c r="AQ330" s="35"/>
      <c r="AR330" s="35"/>
      <c r="AS330" s="35"/>
      <c r="AT330" s="35"/>
      <c r="AU330" s="35"/>
      <c r="AV330" s="35"/>
      <c r="AW330" s="35"/>
      <c r="AX330" s="35"/>
      <c r="AY330" s="35"/>
      <c r="BA330" s="35"/>
      <c r="BC330" s="56"/>
      <c r="BD330" s="55"/>
      <c r="BF330" s="89"/>
    </row>
    <row r="331" spans="1:58" s="25" customFormat="1" x14ac:dyDescent="0.3">
      <c r="A331" s="19"/>
      <c r="B331" s="19"/>
      <c r="C331" s="50"/>
      <c r="D331" s="50"/>
      <c r="E331" s="50"/>
      <c r="F331" s="51"/>
      <c r="G331" s="57"/>
      <c r="H331" s="51"/>
      <c r="I331" s="52"/>
      <c r="J331" s="20"/>
      <c r="K331" s="21"/>
      <c r="L331" s="21"/>
      <c r="M331" s="46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59"/>
      <c r="AM331" s="23"/>
      <c r="AN331" s="23"/>
      <c r="AO331" s="24"/>
      <c r="AQ331" s="35"/>
      <c r="AR331" s="35"/>
      <c r="AS331" s="35"/>
      <c r="AT331" s="35"/>
      <c r="AU331" s="35"/>
      <c r="AV331" s="35"/>
      <c r="AW331" s="35"/>
      <c r="AX331" s="35"/>
      <c r="AY331" s="35"/>
      <c r="BA331" s="35"/>
      <c r="BC331" s="56"/>
      <c r="BD331" s="55"/>
      <c r="BF331" s="89"/>
    </row>
    <row r="332" spans="1:58" s="25" customFormat="1" x14ac:dyDescent="0.3">
      <c r="A332" s="19"/>
      <c r="B332" s="19"/>
      <c r="C332" s="50"/>
      <c r="D332" s="50"/>
      <c r="E332" s="50"/>
      <c r="F332" s="51"/>
      <c r="G332" s="57"/>
      <c r="H332" s="51"/>
      <c r="I332" s="52"/>
      <c r="J332" s="20"/>
      <c r="K332" s="21"/>
      <c r="L332" s="21"/>
      <c r="M332" s="46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59"/>
      <c r="AM332" s="23"/>
      <c r="AN332" s="23"/>
      <c r="AO332" s="24"/>
      <c r="AQ332" s="35"/>
      <c r="AR332" s="35"/>
      <c r="AS332" s="35"/>
      <c r="AT332" s="35"/>
      <c r="AU332" s="35"/>
      <c r="AV332" s="35"/>
      <c r="AW332" s="35"/>
      <c r="AX332" s="35"/>
      <c r="AY332" s="35"/>
      <c r="BA332" s="35"/>
      <c r="BC332" s="56"/>
      <c r="BD332" s="55"/>
      <c r="BF332" s="89"/>
    </row>
    <row r="333" spans="1:58" s="25" customFormat="1" x14ac:dyDescent="0.3">
      <c r="A333" s="19"/>
      <c r="B333" s="19"/>
      <c r="C333" s="50"/>
      <c r="D333" s="50"/>
      <c r="E333" s="50"/>
      <c r="F333" s="51"/>
      <c r="G333" s="57"/>
      <c r="H333" s="51"/>
      <c r="I333" s="52"/>
      <c r="J333" s="20"/>
      <c r="K333" s="21"/>
      <c r="L333" s="21"/>
      <c r="M333" s="46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59"/>
      <c r="AM333" s="23"/>
      <c r="AN333" s="23"/>
      <c r="AO333" s="24"/>
      <c r="AQ333" s="35"/>
      <c r="AR333" s="35"/>
      <c r="AS333" s="35"/>
      <c r="AT333" s="35"/>
      <c r="AU333" s="35"/>
      <c r="AV333" s="35"/>
      <c r="AW333" s="35"/>
      <c r="AX333" s="35"/>
      <c r="AY333" s="35"/>
      <c r="BA333" s="35"/>
      <c r="BC333" s="56"/>
      <c r="BD333" s="55"/>
      <c r="BF333" s="89"/>
    </row>
    <row r="334" spans="1:58" s="25" customFormat="1" x14ac:dyDescent="0.3">
      <c r="A334" s="19"/>
      <c r="B334" s="19"/>
      <c r="C334" s="50"/>
      <c r="D334" s="50"/>
      <c r="E334" s="50"/>
      <c r="F334" s="51"/>
      <c r="G334" s="57"/>
      <c r="H334" s="51"/>
      <c r="I334" s="52"/>
      <c r="J334" s="20"/>
      <c r="K334" s="21"/>
      <c r="L334" s="21"/>
      <c r="M334" s="46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59"/>
      <c r="AM334" s="23"/>
      <c r="AN334" s="23"/>
      <c r="AO334" s="24"/>
      <c r="AQ334" s="35"/>
      <c r="AR334" s="35"/>
      <c r="AS334" s="35"/>
      <c r="AT334" s="35"/>
      <c r="AU334" s="35"/>
      <c r="AV334" s="35"/>
      <c r="AW334" s="35"/>
      <c r="AX334" s="35"/>
      <c r="AY334" s="35"/>
      <c r="BA334" s="35"/>
      <c r="BC334" s="56"/>
      <c r="BD334" s="55"/>
      <c r="BF334" s="89"/>
    </row>
    <row r="335" spans="1:58" s="25" customFormat="1" x14ac:dyDescent="0.3">
      <c r="A335" s="19"/>
      <c r="B335" s="19"/>
      <c r="C335" s="50"/>
      <c r="D335" s="50"/>
      <c r="E335" s="50"/>
      <c r="F335" s="51"/>
      <c r="G335" s="57"/>
      <c r="H335" s="51"/>
      <c r="I335" s="52"/>
      <c r="J335" s="20"/>
      <c r="K335" s="21"/>
      <c r="L335" s="21"/>
      <c r="M335" s="46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59"/>
      <c r="AM335" s="23"/>
      <c r="AN335" s="23"/>
      <c r="AO335" s="24"/>
      <c r="AQ335" s="35"/>
      <c r="AR335" s="35"/>
      <c r="AS335" s="35"/>
      <c r="AT335" s="35"/>
      <c r="AU335" s="35"/>
      <c r="AV335" s="35"/>
      <c r="AW335" s="35"/>
      <c r="AX335" s="35"/>
      <c r="AY335" s="35"/>
      <c r="BA335" s="35"/>
      <c r="BC335" s="56"/>
      <c r="BD335" s="55"/>
      <c r="BF335" s="89"/>
    </row>
    <row r="336" spans="1:58" s="25" customFormat="1" x14ac:dyDescent="0.3">
      <c r="A336" s="19"/>
      <c r="B336" s="19"/>
      <c r="C336" s="50"/>
      <c r="D336" s="50"/>
      <c r="E336" s="50"/>
      <c r="F336" s="51"/>
      <c r="G336" s="57"/>
      <c r="H336" s="51"/>
      <c r="I336" s="52"/>
      <c r="J336" s="20"/>
      <c r="K336" s="21"/>
      <c r="L336" s="21"/>
      <c r="M336" s="46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59"/>
      <c r="AM336" s="23"/>
      <c r="AN336" s="23"/>
      <c r="AO336" s="24"/>
      <c r="AQ336" s="35"/>
      <c r="AR336" s="35"/>
      <c r="AS336" s="35"/>
      <c r="AT336" s="35"/>
      <c r="AU336" s="35"/>
      <c r="AV336" s="35"/>
      <c r="AW336" s="35"/>
      <c r="AX336" s="35"/>
      <c r="AY336" s="35"/>
      <c r="BA336" s="35"/>
      <c r="BC336" s="56"/>
      <c r="BD336" s="55"/>
      <c r="BF336" s="89"/>
    </row>
    <row r="337" spans="1:58" s="25" customFormat="1" x14ac:dyDescent="0.3">
      <c r="A337" s="19"/>
      <c r="B337" s="19"/>
      <c r="C337" s="50"/>
      <c r="D337" s="50"/>
      <c r="E337" s="50"/>
      <c r="F337" s="51"/>
      <c r="G337" s="57"/>
      <c r="H337" s="51"/>
      <c r="I337" s="52"/>
      <c r="J337" s="20"/>
      <c r="K337" s="21"/>
      <c r="L337" s="21"/>
      <c r="M337" s="46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59"/>
      <c r="AM337" s="23"/>
      <c r="AN337" s="23"/>
      <c r="AO337" s="24"/>
      <c r="AQ337" s="35"/>
      <c r="AR337" s="35"/>
      <c r="AS337" s="35"/>
      <c r="AT337" s="35"/>
      <c r="AU337" s="35"/>
      <c r="AV337" s="35"/>
      <c r="AW337" s="35"/>
      <c r="AX337" s="35"/>
      <c r="AY337" s="35"/>
      <c r="BA337" s="35"/>
      <c r="BC337" s="56"/>
      <c r="BD337" s="55"/>
      <c r="BF337" s="89"/>
    </row>
    <row r="338" spans="1:58" s="25" customFormat="1" x14ac:dyDescent="0.3">
      <c r="A338" s="19"/>
      <c r="B338" s="19"/>
      <c r="C338" s="50"/>
      <c r="D338" s="50"/>
      <c r="E338" s="50"/>
      <c r="F338" s="51"/>
      <c r="G338" s="57"/>
      <c r="H338" s="51"/>
      <c r="I338" s="52"/>
      <c r="J338" s="20"/>
      <c r="K338" s="21"/>
      <c r="L338" s="21"/>
      <c r="M338" s="46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59"/>
      <c r="AM338" s="23"/>
      <c r="AN338" s="23"/>
      <c r="AO338" s="24"/>
      <c r="AQ338" s="35"/>
      <c r="AR338" s="35"/>
      <c r="AS338" s="35"/>
      <c r="AT338" s="35"/>
      <c r="AU338" s="35"/>
      <c r="AV338" s="35"/>
      <c r="AW338" s="35"/>
      <c r="AX338" s="35"/>
      <c r="AY338" s="35"/>
      <c r="BA338" s="35"/>
      <c r="BC338" s="56"/>
      <c r="BD338" s="55"/>
      <c r="BF338" s="89"/>
    </row>
    <row r="339" spans="1:58" s="25" customFormat="1" x14ac:dyDescent="0.3">
      <c r="A339" s="19"/>
      <c r="B339" s="19"/>
      <c r="C339" s="50"/>
      <c r="D339" s="50"/>
      <c r="E339" s="50"/>
      <c r="F339" s="51"/>
      <c r="G339" s="57"/>
      <c r="H339" s="51"/>
      <c r="I339" s="52"/>
      <c r="J339" s="20"/>
      <c r="K339" s="21"/>
      <c r="L339" s="21"/>
      <c r="M339" s="46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59"/>
      <c r="AM339" s="23"/>
      <c r="AN339" s="23"/>
      <c r="AO339" s="24"/>
      <c r="AQ339" s="35"/>
      <c r="AR339" s="35"/>
      <c r="AS339" s="35"/>
      <c r="AT339" s="35"/>
      <c r="AU339" s="35"/>
      <c r="AV339" s="35"/>
      <c r="AW339" s="35"/>
      <c r="AX339" s="35"/>
      <c r="AY339" s="35"/>
      <c r="BA339" s="35"/>
      <c r="BC339" s="56"/>
      <c r="BD339" s="55"/>
      <c r="BF339" s="89"/>
    </row>
    <row r="340" spans="1:58" s="25" customFormat="1" x14ac:dyDescent="0.3">
      <c r="A340" s="19"/>
      <c r="B340" s="19"/>
      <c r="C340" s="50"/>
      <c r="D340" s="50"/>
      <c r="E340" s="50"/>
      <c r="F340" s="51"/>
      <c r="G340" s="57"/>
      <c r="H340" s="51"/>
      <c r="I340" s="52"/>
      <c r="J340" s="20"/>
      <c r="K340" s="21"/>
      <c r="L340" s="21"/>
      <c r="M340" s="46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59"/>
      <c r="AM340" s="23"/>
      <c r="AN340" s="23"/>
      <c r="AO340" s="24"/>
      <c r="AQ340" s="35"/>
      <c r="AR340" s="35"/>
      <c r="AS340" s="35"/>
      <c r="AT340" s="35"/>
      <c r="AU340" s="35"/>
      <c r="AV340" s="35"/>
      <c r="AW340" s="35"/>
      <c r="AX340" s="35"/>
      <c r="AY340" s="35"/>
      <c r="BA340" s="35"/>
      <c r="BC340" s="56"/>
      <c r="BD340" s="55"/>
      <c r="BF340" s="89"/>
    </row>
    <row r="341" spans="1:58" s="25" customFormat="1" x14ac:dyDescent="0.3">
      <c r="A341" s="19"/>
      <c r="B341" s="19"/>
      <c r="C341" s="50"/>
      <c r="D341" s="50"/>
      <c r="E341" s="50"/>
      <c r="F341" s="51"/>
      <c r="G341" s="57"/>
      <c r="H341" s="51"/>
      <c r="I341" s="52"/>
      <c r="J341" s="20"/>
      <c r="K341" s="21"/>
      <c r="L341" s="21"/>
      <c r="M341" s="46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59"/>
      <c r="AM341" s="23"/>
      <c r="AN341" s="23"/>
      <c r="AO341" s="24"/>
      <c r="AQ341" s="35"/>
      <c r="AR341" s="35"/>
      <c r="AS341" s="35"/>
      <c r="AT341" s="35"/>
      <c r="AU341" s="35"/>
      <c r="AV341" s="35"/>
      <c r="AW341" s="35"/>
      <c r="AX341" s="35"/>
      <c r="AY341" s="35"/>
      <c r="BA341" s="35"/>
      <c r="BC341" s="56"/>
      <c r="BD341" s="55"/>
      <c r="BF341" s="89"/>
    </row>
    <row r="342" spans="1:58" s="25" customFormat="1" x14ac:dyDescent="0.3">
      <c r="A342" s="19"/>
      <c r="B342" s="19"/>
      <c r="C342" s="50"/>
      <c r="D342" s="50"/>
      <c r="E342" s="50"/>
      <c r="F342" s="51"/>
      <c r="G342" s="57"/>
      <c r="H342" s="51"/>
      <c r="I342" s="52"/>
      <c r="J342" s="20"/>
      <c r="K342" s="21"/>
      <c r="L342" s="21"/>
      <c r="M342" s="46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59"/>
      <c r="AM342" s="23"/>
      <c r="AN342" s="23"/>
      <c r="AO342" s="24"/>
      <c r="AQ342" s="35"/>
      <c r="AR342" s="35"/>
      <c r="AS342" s="35"/>
      <c r="AT342" s="35"/>
      <c r="AU342" s="35"/>
      <c r="AV342" s="35"/>
      <c r="AW342" s="35"/>
      <c r="AX342" s="35"/>
      <c r="AY342" s="35"/>
      <c r="BA342" s="35"/>
      <c r="BC342" s="56"/>
      <c r="BD342" s="55"/>
      <c r="BF342" s="89"/>
    </row>
    <row r="343" spans="1:58" s="25" customFormat="1" x14ac:dyDescent="0.3">
      <c r="A343" s="19"/>
      <c r="B343" s="19"/>
      <c r="C343" s="50"/>
      <c r="D343" s="50"/>
      <c r="E343" s="50"/>
      <c r="F343" s="51"/>
      <c r="G343" s="57"/>
      <c r="H343" s="51"/>
      <c r="I343" s="52"/>
      <c r="J343" s="20"/>
      <c r="K343" s="21"/>
      <c r="L343" s="21"/>
      <c r="M343" s="46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59"/>
      <c r="AM343" s="23"/>
      <c r="AN343" s="23"/>
      <c r="AO343" s="24"/>
      <c r="AQ343" s="35"/>
      <c r="AR343" s="35"/>
      <c r="AS343" s="35"/>
      <c r="AT343" s="35"/>
      <c r="AU343" s="35"/>
      <c r="AV343" s="35"/>
      <c r="AW343" s="35"/>
      <c r="AX343" s="35"/>
      <c r="AY343" s="35"/>
      <c r="BA343" s="35"/>
      <c r="BC343" s="56"/>
      <c r="BD343" s="55"/>
      <c r="BF343" s="89"/>
    </row>
    <row r="344" spans="1:58" s="25" customFormat="1" x14ac:dyDescent="0.3">
      <c r="A344" s="19"/>
      <c r="B344" s="19"/>
      <c r="C344" s="50"/>
      <c r="D344" s="50"/>
      <c r="E344" s="50"/>
      <c r="F344" s="51"/>
      <c r="G344" s="57"/>
      <c r="H344" s="51"/>
      <c r="I344" s="52"/>
      <c r="J344" s="20"/>
      <c r="K344" s="21"/>
      <c r="L344" s="21"/>
      <c r="M344" s="46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59"/>
      <c r="AM344" s="23"/>
      <c r="AN344" s="23"/>
      <c r="AO344" s="24"/>
      <c r="AQ344" s="35"/>
      <c r="AR344" s="35"/>
      <c r="AS344" s="35"/>
      <c r="AT344" s="35"/>
      <c r="AU344" s="35"/>
      <c r="AV344" s="35"/>
      <c r="AW344" s="35"/>
      <c r="AX344" s="35"/>
      <c r="AY344" s="35"/>
      <c r="BA344" s="35"/>
      <c r="BC344" s="56"/>
      <c r="BD344" s="55"/>
      <c r="BF344" s="89"/>
    </row>
    <row r="345" spans="1:58" s="25" customFormat="1" x14ac:dyDescent="0.3">
      <c r="A345" s="19"/>
      <c r="B345" s="19"/>
      <c r="C345" s="50"/>
      <c r="D345" s="50"/>
      <c r="E345" s="50"/>
      <c r="F345" s="51"/>
      <c r="G345" s="57"/>
      <c r="H345" s="51"/>
      <c r="I345" s="52"/>
      <c r="J345" s="20"/>
      <c r="K345" s="21"/>
      <c r="L345" s="21"/>
      <c r="M345" s="46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59"/>
      <c r="AM345" s="23"/>
      <c r="AN345" s="23"/>
      <c r="AO345" s="24"/>
      <c r="AQ345" s="35"/>
      <c r="AR345" s="35"/>
      <c r="AS345" s="35"/>
      <c r="AT345" s="35"/>
      <c r="AU345" s="35"/>
      <c r="AV345" s="35"/>
      <c r="AW345" s="35"/>
      <c r="AX345" s="35"/>
      <c r="AY345" s="35"/>
      <c r="BA345" s="35"/>
      <c r="BC345" s="56"/>
      <c r="BD345" s="55"/>
      <c r="BF345" s="89"/>
    </row>
    <row r="346" spans="1:58" s="25" customFormat="1" x14ac:dyDescent="0.3">
      <c r="A346" s="19"/>
      <c r="B346" s="19"/>
      <c r="C346" s="50"/>
      <c r="D346" s="50"/>
      <c r="E346" s="50"/>
      <c r="F346" s="51"/>
      <c r="G346" s="57"/>
      <c r="H346" s="51"/>
      <c r="I346" s="52"/>
      <c r="J346" s="20"/>
      <c r="K346" s="21"/>
      <c r="L346" s="21"/>
      <c r="M346" s="46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59"/>
      <c r="AM346" s="23"/>
      <c r="AN346" s="23"/>
      <c r="AO346" s="24"/>
      <c r="AQ346" s="35"/>
      <c r="AR346" s="35"/>
      <c r="AS346" s="35"/>
      <c r="AT346" s="35"/>
      <c r="AU346" s="35"/>
      <c r="AV346" s="35"/>
      <c r="AW346" s="35"/>
      <c r="AX346" s="35"/>
      <c r="AY346" s="35"/>
      <c r="BA346" s="35"/>
      <c r="BC346" s="56"/>
      <c r="BD346" s="55"/>
      <c r="BF346" s="89"/>
    </row>
    <row r="347" spans="1:58" s="25" customFormat="1" x14ac:dyDescent="0.3">
      <c r="A347" s="19"/>
      <c r="B347" s="19"/>
      <c r="C347" s="50"/>
      <c r="D347" s="50"/>
      <c r="E347" s="50"/>
      <c r="F347" s="51"/>
      <c r="G347" s="57"/>
      <c r="H347" s="51"/>
      <c r="I347" s="52"/>
      <c r="J347" s="20"/>
      <c r="K347" s="21"/>
      <c r="L347" s="21"/>
      <c r="M347" s="46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59"/>
      <c r="AM347" s="23"/>
      <c r="AN347" s="23"/>
      <c r="AO347" s="24"/>
      <c r="AQ347" s="35"/>
      <c r="AR347" s="35"/>
      <c r="AS347" s="35"/>
      <c r="AT347" s="35"/>
      <c r="AU347" s="35"/>
      <c r="AV347" s="35"/>
      <c r="AW347" s="35"/>
      <c r="AX347" s="35"/>
      <c r="AY347" s="35"/>
      <c r="BA347" s="35"/>
      <c r="BC347" s="56"/>
      <c r="BD347" s="55"/>
      <c r="BF347" s="89"/>
    </row>
    <row r="348" spans="1:58" s="25" customFormat="1" x14ac:dyDescent="0.3">
      <c r="A348" s="19"/>
      <c r="B348" s="19"/>
      <c r="C348" s="50"/>
      <c r="D348" s="50"/>
      <c r="E348" s="50"/>
      <c r="F348" s="51"/>
      <c r="G348" s="57"/>
      <c r="H348" s="51"/>
      <c r="I348" s="52"/>
      <c r="J348" s="20"/>
      <c r="K348" s="21"/>
      <c r="L348" s="21"/>
      <c r="M348" s="46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59"/>
      <c r="AM348" s="23"/>
      <c r="AN348" s="23"/>
      <c r="AO348" s="24"/>
      <c r="AQ348" s="35"/>
      <c r="AR348" s="35"/>
      <c r="AS348" s="35"/>
      <c r="AT348" s="35"/>
      <c r="AU348" s="35"/>
      <c r="AV348" s="35"/>
      <c r="AW348" s="35"/>
      <c r="AX348" s="35"/>
      <c r="AY348" s="35"/>
      <c r="BA348" s="35"/>
      <c r="BC348" s="56"/>
      <c r="BD348" s="55"/>
      <c r="BF348" s="89"/>
    </row>
    <row r="349" spans="1:58" s="25" customFormat="1" x14ac:dyDescent="0.3">
      <c r="A349" s="19"/>
      <c r="B349" s="19"/>
      <c r="C349" s="50"/>
      <c r="D349" s="50"/>
      <c r="E349" s="50"/>
      <c r="F349" s="51"/>
      <c r="G349" s="57"/>
      <c r="H349" s="51"/>
      <c r="I349" s="52"/>
      <c r="J349" s="20"/>
      <c r="K349" s="21"/>
      <c r="L349" s="21"/>
      <c r="M349" s="46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59"/>
      <c r="AM349" s="23"/>
      <c r="AN349" s="23"/>
      <c r="AO349" s="24"/>
      <c r="AQ349" s="35"/>
      <c r="AR349" s="35"/>
      <c r="AS349" s="35"/>
      <c r="AT349" s="35"/>
      <c r="AU349" s="35"/>
      <c r="AV349" s="35"/>
      <c r="AW349" s="35"/>
      <c r="AX349" s="35"/>
      <c r="AY349" s="35"/>
      <c r="BA349" s="35"/>
      <c r="BC349" s="56"/>
      <c r="BD349" s="55"/>
      <c r="BF349" s="89"/>
    </row>
    <row r="350" spans="1:58" s="25" customFormat="1" x14ac:dyDescent="0.3">
      <c r="A350" s="19"/>
      <c r="B350" s="19"/>
      <c r="C350" s="50"/>
      <c r="D350" s="50"/>
      <c r="E350" s="50"/>
      <c r="F350" s="51"/>
      <c r="G350" s="57"/>
      <c r="H350" s="51"/>
      <c r="I350" s="52"/>
      <c r="J350" s="20"/>
      <c r="K350" s="21"/>
      <c r="L350" s="21"/>
      <c r="M350" s="46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59"/>
      <c r="AM350" s="23"/>
      <c r="AN350" s="23"/>
      <c r="AO350" s="24"/>
      <c r="AQ350" s="35"/>
      <c r="AR350" s="35"/>
      <c r="AS350" s="35"/>
      <c r="AT350" s="35"/>
      <c r="AU350" s="35"/>
      <c r="AV350" s="35"/>
      <c r="AW350" s="35"/>
      <c r="AX350" s="35"/>
      <c r="AY350" s="35"/>
      <c r="BA350" s="35"/>
      <c r="BC350" s="56"/>
      <c r="BD350" s="55"/>
      <c r="BF350" s="89"/>
    </row>
    <row r="351" spans="1:58" s="25" customFormat="1" x14ac:dyDescent="0.3">
      <c r="A351" s="19"/>
      <c r="B351" s="19"/>
      <c r="C351" s="50"/>
      <c r="D351" s="50"/>
      <c r="E351" s="50"/>
      <c r="F351" s="51"/>
      <c r="G351" s="57"/>
      <c r="H351" s="51"/>
      <c r="I351" s="52"/>
      <c r="J351" s="20"/>
      <c r="K351" s="21"/>
      <c r="L351" s="21"/>
      <c r="M351" s="46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59"/>
      <c r="AM351" s="23"/>
      <c r="AN351" s="23"/>
      <c r="AO351" s="24"/>
      <c r="AQ351" s="35"/>
      <c r="AR351" s="35"/>
      <c r="AS351" s="35"/>
      <c r="AT351" s="35"/>
      <c r="AU351" s="35"/>
      <c r="AV351" s="35"/>
      <c r="AW351" s="35"/>
      <c r="AX351" s="35"/>
      <c r="AY351" s="35"/>
      <c r="BA351" s="35"/>
      <c r="BC351" s="56"/>
      <c r="BD351" s="55"/>
      <c r="BF351" s="89"/>
    </row>
    <row r="352" spans="1:58" s="25" customFormat="1" x14ac:dyDescent="0.3">
      <c r="A352" s="19"/>
      <c r="B352" s="19"/>
      <c r="C352" s="50"/>
      <c r="D352" s="50"/>
      <c r="E352" s="50"/>
      <c r="F352" s="51"/>
      <c r="G352" s="57"/>
      <c r="H352" s="51"/>
      <c r="I352" s="52"/>
      <c r="J352" s="20"/>
      <c r="K352" s="21"/>
      <c r="L352" s="21"/>
      <c r="M352" s="46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59"/>
      <c r="AM352" s="23"/>
      <c r="AN352" s="23"/>
      <c r="AO352" s="24"/>
      <c r="AQ352" s="35"/>
      <c r="AR352" s="35"/>
      <c r="AS352" s="35"/>
      <c r="AT352" s="35"/>
      <c r="AU352" s="35"/>
      <c r="AV352" s="35"/>
      <c r="AW352" s="35"/>
      <c r="AX352" s="35"/>
      <c r="AY352" s="35"/>
      <c r="BA352" s="35"/>
      <c r="BC352" s="56"/>
      <c r="BD352" s="55"/>
      <c r="BF352" s="89"/>
    </row>
    <row r="353" spans="1:58" s="25" customFormat="1" x14ac:dyDescent="0.3">
      <c r="A353" s="19"/>
      <c r="B353" s="19"/>
      <c r="C353" s="50"/>
      <c r="D353" s="50"/>
      <c r="E353" s="50"/>
      <c r="F353" s="51"/>
      <c r="G353" s="57"/>
      <c r="H353" s="51"/>
      <c r="I353" s="52"/>
      <c r="J353" s="20"/>
      <c r="K353" s="21"/>
      <c r="L353" s="21"/>
      <c r="M353" s="46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59"/>
      <c r="AM353" s="23"/>
      <c r="AN353" s="23"/>
      <c r="AO353" s="24"/>
      <c r="AQ353" s="35"/>
      <c r="AR353" s="35"/>
      <c r="AS353" s="35"/>
      <c r="AT353" s="35"/>
      <c r="AU353" s="35"/>
      <c r="AV353" s="35"/>
      <c r="AW353" s="35"/>
      <c r="AX353" s="35"/>
      <c r="AY353" s="35"/>
      <c r="BA353" s="35"/>
      <c r="BC353" s="56"/>
      <c r="BD353" s="55"/>
      <c r="BF353" s="89"/>
    </row>
    <row r="354" spans="1:58" s="25" customFormat="1" x14ac:dyDescent="0.3">
      <c r="A354" s="19"/>
      <c r="B354" s="19"/>
      <c r="C354" s="50"/>
      <c r="D354" s="50"/>
      <c r="E354" s="50"/>
      <c r="F354" s="51"/>
      <c r="G354" s="57"/>
      <c r="H354" s="51"/>
      <c r="I354" s="52"/>
      <c r="J354" s="20"/>
      <c r="K354" s="21"/>
      <c r="L354" s="21"/>
      <c r="M354" s="46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59"/>
      <c r="AM354" s="23"/>
      <c r="AN354" s="23"/>
      <c r="AO354" s="24"/>
      <c r="AQ354" s="35"/>
      <c r="AR354" s="35"/>
      <c r="AS354" s="35"/>
      <c r="AT354" s="35"/>
      <c r="AU354" s="35"/>
      <c r="AV354" s="35"/>
      <c r="AW354" s="35"/>
      <c r="AX354" s="35"/>
      <c r="AY354" s="35"/>
      <c r="BA354" s="35"/>
      <c r="BC354" s="56"/>
      <c r="BD354" s="55"/>
      <c r="BF354" s="89"/>
    </row>
    <row r="355" spans="1:58" s="25" customFormat="1" x14ac:dyDescent="0.3">
      <c r="A355" s="19"/>
      <c r="B355" s="19"/>
      <c r="C355" s="50"/>
      <c r="D355" s="50"/>
      <c r="E355" s="50"/>
      <c r="F355" s="51"/>
      <c r="G355" s="57"/>
      <c r="H355" s="51"/>
      <c r="I355" s="52"/>
      <c r="J355" s="20"/>
      <c r="K355" s="21"/>
      <c r="L355" s="21"/>
      <c r="M355" s="46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59"/>
      <c r="AM355" s="23"/>
      <c r="AN355" s="23"/>
      <c r="AO355" s="24"/>
      <c r="AQ355" s="35"/>
      <c r="AR355" s="35"/>
      <c r="AS355" s="35"/>
      <c r="AT355" s="35"/>
      <c r="AU355" s="35"/>
      <c r="AV355" s="35"/>
      <c r="AW355" s="35"/>
      <c r="AX355" s="35"/>
      <c r="AY355" s="35"/>
      <c r="BA355" s="35"/>
      <c r="BC355" s="56"/>
      <c r="BD355" s="55"/>
      <c r="BF355" s="89"/>
    </row>
    <row r="356" spans="1:58" s="25" customFormat="1" x14ac:dyDescent="0.3">
      <c r="A356" s="19"/>
      <c r="B356" s="42"/>
      <c r="C356" s="43"/>
      <c r="D356" s="43"/>
      <c r="E356" s="43"/>
      <c r="F356" s="44"/>
      <c r="G356" s="58"/>
      <c r="H356" s="44"/>
      <c r="I356" s="45"/>
      <c r="J356" s="62"/>
      <c r="K356" s="63"/>
      <c r="L356" s="63"/>
      <c r="M356" s="64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59"/>
      <c r="AM356" s="23"/>
      <c r="AN356" s="23"/>
      <c r="AO356" s="24"/>
      <c r="AQ356" s="35"/>
      <c r="AR356" s="35"/>
      <c r="AS356" s="35"/>
      <c r="AT356" s="35"/>
      <c r="AU356" s="35"/>
      <c r="AV356" s="35"/>
      <c r="AW356" s="35"/>
      <c r="AX356" s="35"/>
      <c r="AY356" s="35"/>
      <c r="BA356" s="35"/>
      <c r="BC356" s="56"/>
      <c r="BD356" s="55"/>
      <c r="BF356" s="89"/>
    </row>
    <row r="357" spans="1:58" s="25" customFormat="1" x14ac:dyDescent="0.3">
      <c r="A357" s="19"/>
      <c r="B357" s="19"/>
      <c r="C357" s="50"/>
      <c r="D357" s="50"/>
      <c r="E357" s="50"/>
      <c r="F357" s="51"/>
      <c r="G357" s="57"/>
      <c r="H357" s="51"/>
      <c r="I357" s="52"/>
      <c r="J357" s="20"/>
      <c r="K357" s="21"/>
      <c r="L357" s="21"/>
      <c r="M357" s="46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59"/>
      <c r="AM357" s="23"/>
      <c r="AN357" s="23"/>
      <c r="AO357" s="24"/>
      <c r="AQ357" s="35"/>
      <c r="AR357" s="35"/>
      <c r="AS357" s="35"/>
      <c r="AT357" s="35"/>
      <c r="AU357" s="35"/>
      <c r="AV357" s="35"/>
      <c r="AW357" s="35"/>
      <c r="AX357" s="35"/>
      <c r="AY357" s="35"/>
      <c r="BA357" s="35"/>
      <c r="BC357" s="56"/>
      <c r="BD357" s="55"/>
      <c r="BF357" s="89"/>
    </row>
    <row r="358" spans="1:58" s="25" customFormat="1" x14ac:dyDescent="0.3">
      <c r="A358" s="19"/>
      <c r="B358" s="19"/>
      <c r="C358" s="50"/>
      <c r="D358" s="50"/>
      <c r="E358" s="50"/>
      <c r="F358" s="51"/>
      <c r="G358" s="57"/>
      <c r="H358" s="51"/>
      <c r="I358" s="52"/>
      <c r="J358" s="20"/>
      <c r="K358" s="21"/>
      <c r="L358" s="21"/>
      <c r="M358" s="46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59"/>
      <c r="AM358" s="23"/>
      <c r="AN358" s="23"/>
      <c r="AO358" s="24"/>
      <c r="AQ358" s="35"/>
      <c r="AR358" s="35"/>
      <c r="AS358" s="35"/>
      <c r="AT358" s="35"/>
      <c r="AU358" s="35"/>
      <c r="AV358" s="35"/>
      <c r="AW358" s="35"/>
      <c r="AX358" s="35"/>
      <c r="AY358" s="35"/>
      <c r="BA358" s="35"/>
      <c r="BC358" s="56"/>
      <c r="BD358" s="55"/>
      <c r="BF358" s="89"/>
    </row>
    <row r="359" spans="1:58" s="25" customFormat="1" x14ac:dyDescent="0.3">
      <c r="A359" s="19"/>
      <c r="B359" s="19"/>
      <c r="C359" s="50"/>
      <c r="D359" s="50"/>
      <c r="E359" s="50"/>
      <c r="F359" s="51"/>
      <c r="G359" s="57"/>
      <c r="H359" s="51"/>
      <c r="I359" s="52"/>
      <c r="J359" s="20"/>
      <c r="K359" s="21"/>
      <c r="L359" s="21"/>
      <c r="M359" s="46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59"/>
      <c r="AM359" s="23"/>
      <c r="AN359" s="23"/>
      <c r="AO359" s="24"/>
      <c r="AQ359" s="35"/>
      <c r="AR359" s="35"/>
      <c r="AS359" s="35"/>
      <c r="AT359" s="35"/>
      <c r="AU359" s="35"/>
      <c r="AV359" s="35"/>
      <c r="AW359" s="35"/>
      <c r="AX359" s="35"/>
      <c r="AY359" s="35"/>
      <c r="BA359" s="35"/>
      <c r="BC359" s="56"/>
      <c r="BD359" s="55"/>
      <c r="BF359" s="89"/>
    </row>
    <row r="360" spans="1:58" s="25" customFormat="1" x14ac:dyDescent="0.3">
      <c r="A360" s="19"/>
      <c r="B360" s="19"/>
      <c r="C360" s="50"/>
      <c r="D360" s="50"/>
      <c r="E360" s="50"/>
      <c r="F360" s="51"/>
      <c r="G360" s="57"/>
      <c r="H360" s="51"/>
      <c r="I360" s="52"/>
      <c r="J360" s="20"/>
      <c r="K360" s="21"/>
      <c r="L360" s="21"/>
      <c r="M360" s="46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59"/>
      <c r="AM360" s="23"/>
      <c r="AN360" s="23"/>
      <c r="AO360" s="24"/>
      <c r="AQ360" s="35"/>
      <c r="AR360" s="35"/>
      <c r="AS360" s="35"/>
      <c r="AT360" s="35"/>
      <c r="AU360" s="35"/>
      <c r="AV360" s="35"/>
      <c r="AW360" s="35"/>
      <c r="AX360" s="35"/>
      <c r="AY360" s="35"/>
      <c r="BA360" s="35"/>
      <c r="BC360" s="56"/>
      <c r="BD360" s="55"/>
      <c r="BF360" s="89"/>
    </row>
    <row r="361" spans="1:58" s="25" customFormat="1" x14ac:dyDescent="0.3">
      <c r="A361" s="19"/>
      <c r="B361" s="19"/>
      <c r="C361" s="50"/>
      <c r="D361" s="50"/>
      <c r="E361" s="50"/>
      <c r="F361" s="51"/>
      <c r="G361" s="57"/>
      <c r="H361" s="51"/>
      <c r="I361" s="52"/>
      <c r="J361" s="20"/>
      <c r="K361" s="21"/>
      <c r="L361" s="21"/>
      <c r="M361" s="46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59"/>
      <c r="AM361" s="23"/>
      <c r="AN361" s="23"/>
      <c r="AO361" s="24"/>
      <c r="AQ361" s="35"/>
      <c r="AR361" s="35"/>
      <c r="AS361" s="35"/>
      <c r="AT361" s="35"/>
      <c r="AU361" s="35"/>
      <c r="AV361" s="35"/>
      <c r="AW361" s="35"/>
      <c r="AX361" s="35"/>
      <c r="AY361" s="35"/>
      <c r="BA361" s="35"/>
      <c r="BC361" s="56"/>
      <c r="BD361" s="55"/>
      <c r="BF361" s="89"/>
    </row>
    <row r="362" spans="1:58" s="25" customFormat="1" x14ac:dyDescent="0.3">
      <c r="A362" s="19"/>
      <c r="B362" s="19"/>
      <c r="C362" s="50"/>
      <c r="D362" s="50"/>
      <c r="E362" s="50"/>
      <c r="F362" s="51"/>
      <c r="G362" s="57"/>
      <c r="H362" s="51"/>
      <c r="I362" s="52"/>
      <c r="J362" s="20"/>
      <c r="K362" s="21"/>
      <c r="L362" s="21"/>
      <c r="M362" s="46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59"/>
      <c r="AM362" s="23"/>
      <c r="AN362" s="23"/>
      <c r="AO362" s="24"/>
      <c r="AQ362" s="35"/>
      <c r="AR362" s="35"/>
      <c r="AS362" s="35"/>
      <c r="AT362" s="35"/>
      <c r="AU362" s="35"/>
      <c r="AV362" s="35"/>
      <c r="AW362" s="35"/>
      <c r="AX362" s="35"/>
      <c r="AY362" s="35"/>
      <c r="BA362" s="35"/>
      <c r="BC362" s="56"/>
      <c r="BD362" s="55"/>
      <c r="BF362" s="89"/>
    </row>
    <row r="363" spans="1:58" s="25" customFormat="1" x14ac:dyDescent="0.3">
      <c r="A363" s="19"/>
      <c r="B363" s="19"/>
      <c r="C363" s="50"/>
      <c r="D363" s="50"/>
      <c r="E363" s="50"/>
      <c r="F363" s="51"/>
      <c r="G363" s="57"/>
      <c r="H363" s="51"/>
      <c r="I363" s="52"/>
      <c r="J363" s="20"/>
      <c r="K363" s="21"/>
      <c r="L363" s="21"/>
      <c r="M363" s="46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59"/>
      <c r="AM363" s="23"/>
      <c r="AN363" s="23"/>
      <c r="AO363" s="24"/>
      <c r="AQ363" s="35"/>
      <c r="AR363" s="35"/>
      <c r="AS363" s="35"/>
      <c r="AT363" s="35"/>
      <c r="AU363" s="35"/>
      <c r="AV363" s="35"/>
      <c r="AW363" s="35"/>
      <c r="AX363" s="35"/>
      <c r="AY363" s="35"/>
      <c r="BA363" s="35"/>
      <c r="BC363" s="56"/>
      <c r="BD363" s="55"/>
      <c r="BF363" s="89"/>
    </row>
    <row r="364" spans="1:58" s="25" customFormat="1" x14ac:dyDescent="0.3">
      <c r="A364" s="19"/>
      <c r="B364" s="19"/>
      <c r="C364" s="50"/>
      <c r="D364" s="50"/>
      <c r="E364" s="50"/>
      <c r="F364" s="51"/>
      <c r="G364" s="57"/>
      <c r="H364" s="51"/>
      <c r="I364" s="52"/>
      <c r="J364" s="20"/>
      <c r="K364" s="21"/>
      <c r="L364" s="21"/>
      <c r="M364" s="46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59"/>
      <c r="AM364" s="23"/>
      <c r="AN364" s="23"/>
      <c r="AO364" s="24"/>
      <c r="AQ364" s="35"/>
      <c r="AR364" s="35"/>
      <c r="AS364" s="35"/>
      <c r="AT364" s="35"/>
      <c r="AU364" s="35"/>
      <c r="AV364" s="35"/>
      <c r="AW364" s="35"/>
      <c r="AX364" s="35"/>
      <c r="AY364" s="35"/>
      <c r="BA364" s="35"/>
      <c r="BC364" s="56"/>
      <c r="BD364" s="55"/>
      <c r="BF364" s="89"/>
    </row>
    <row r="365" spans="1:58" s="25" customFormat="1" x14ac:dyDescent="0.3">
      <c r="A365" s="19"/>
      <c r="B365" s="19"/>
      <c r="C365" s="50"/>
      <c r="D365" s="50"/>
      <c r="E365" s="50"/>
      <c r="F365" s="51"/>
      <c r="G365" s="57"/>
      <c r="H365" s="51"/>
      <c r="I365" s="52"/>
      <c r="J365" s="20"/>
      <c r="K365" s="21"/>
      <c r="L365" s="21"/>
      <c r="M365" s="46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59"/>
      <c r="AM365" s="23"/>
      <c r="AN365" s="23"/>
      <c r="AO365" s="24"/>
      <c r="AQ365" s="35"/>
      <c r="AR365" s="35"/>
      <c r="AS365" s="35"/>
      <c r="AT365" s="35"/>
      <c r="AU365" s="35"/>
      <c r="AV365" s="35"/>
      <c r="AW365" s="35"/>
      <c r="AX365" s="35"/>
      <c r="AY365" s="35"/>
      <c r="BA365" s="35"/>
      <c r="BC365" s="56"/>
      <c r="BD365" s="55"/>
      <c r="BF365" s="89"/>
    </row>
    <row r="366" spans="1:58" s="25" customFormat="1" x14ac:dyDescent="0.3">
      <c r="A366" s="19"/>
      <c r="B366" s="19"/>
      <c r="C366" s="50"/>
      <c r="D366" s="50"/>
      <c r="E366" s="50"/>
      <c r="F366" s="51"/>
      <c r="G366" s="57"/>
      <c r="H366" s="51"/>
      <c r="I366" s="52"/>
      <c r="J366" s="20"/>
      <c r="K366" s="21"/>
      <c r="L366" s="21"/>
      <c r="M366" s="46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59"/>
      <c r="AM366" s="23"/>
      <c r="AN366" s="23"/>
      <c r="AO366" s="24"/>
      <c r="AQ366" s="35"/>
      <c r="AR366" s="35"/>
      <c r="AS366" s="35"/>
      <c r="AT366" s="35"/>
      <c r="AU366" s="35"/>
      <c r="AV366" s="35"/>
      <c r="AW366" s="35"/>
      <c r="AX366" s="35"/>
      <c r="AY366" s="35"/>
      <c r="BA366" s="35"/>
      <c r="BC366" s="56"/>
      <c r="BD366" s="55"/>
      <c r="BF366" s="89"/>
    </row>
    <row r="367" spans="1:58" s="25" customFormat="1" x14ac:dyDescent="0.3">
      <c r="A367" s="19"/>
      <c r="B367" s="19"/>
      <c r="C367" s="50"/>
      <c r="D367" s="50"/>
      <c r="E367" s="50"/>
      <c r="F367" s="51"/>
      <c r="G367" s="57"/>
      <c r="H367" s="51"/>
      <c r="I367" s="52"/>
      <c r="J367" s="20"/>
      <c r="K367" s="21"/>
      <c r="L367" s="21"/>
      <c r="M367" s="46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59"/>
      <c r="AM367" s="23"/>
      <c r="AN367" s="23"/>
      <c r="AO367" s="24"/>
      <c r="AQ367" s="35"/>
      <c r="AR367" s="35"/>
      <c r="AS367" s="35"/>
      <c r="AT367" s="35"/>
      <c r="AU367" s="35"/>
      <c r="AV367" s="35"/>
      <c r="AW367" s="35"/>
      <c r="AX367" s="35"/>
      <c r="AY367" s="35"/>
      <c r="BA367" s="35"/>
      <c r="BC367" s="56"/>
      <c r="BD367" s="55"/>
      <c r="BF367" s="89"/>
    </row>
    <row r="368" spans="1:58" s="25" customFormat="1" x14ac:dyDescent="0.3">
      <c r="A368" s="19"/>
      <c r="B368" s="19"/>
      <c r="C368" s="50"/>
      <c r="D368" s="50"/>
      <c r="E368" s="50"/>
      <c r="F368" s="51"/>
      <c r="G368" s="57"/>
      <c r="H368" s="51"/>
      <c r="I368" s="52"/>
      <c r="J368" s="20"/>
      <c r="K368" s="21"/>
      <c r="L368" s="21"/>
      <c r="M368" s="46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59"/>
      <c r="AM368" s="23"/>
      <c r="AN368" s="23"/>
      <c r="AO368" s="24"/>
      <c r="AQ368" s="35"/>
      <c r="AR368" s="35"/>
      <c r="AS368" s="35"/>
      <c r="AT368" s="35"/>
      <c r="AU368" s="35"/>
      <c r="AV368" s="35"/>
      <c r="AW368" s="35"/>
      <c r="AX368" s="35"/>
      <c r="AY368" s="35"/>
      <c r="BA368" s="35"/>
      <c r="BC368" s="56"/>
      <c r="BD368" s="55"/>
      <c r="BF368" s="89"/>
    </row>
    <row r="369" spans="1:58" s="25" customFormat="1" x14ac:dyDescent="0.3">
      <c r="A369" s="19"/>
      <c r="B369" s="19"/>
      <c r="C369" s="50"/>
      <c r="D369" s="50"/>
      <c r="E369" s="50"/>
      <c r="F369" s="51"/>
      <c r="G369" s="57"/>
      <c r="H369" s="51"/>
      <c r="I369" s="52"/>
      <c r="J369" s="20"/>
      <c r="K369" s="21"/>
      <c r="L369" s="21"/>
      <c r="M369" s="46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59"/>
      <c r="AM369" s="23"/>
      <c r="AN369" s="23"/>
      <c r="AO369" s="24"/>
      <c r="AQ369" s="35"/>
      <c r="AR369" s="35"/>
      <c r="AS369" s="35"/>
      <c r="AT369" s="35"/>
      <c r="AU369" s="35"/>
      <c r="AV369" s="35"/>
      <c r="AW369" s="35"/>
      <c r="AX369" s="35"/>
      <c r="AY369" s="35"/>
      <c r="BA369" s="35"/>
      <c r="BC369" s="56"/>
      <c r="BD369" s="55"/>
      <c r="BF369" s="89"/>
    </row>
    <row r="370" spans="1:58" s="25" customFormat="1" x14ac:dyDescent="0.3">
      <c r="A370" s="19"/>
      <c r="B370" s="19"/>
      <c r="C370" s="50"/>
      <c r="D370" s="50"/>
      <c r="E370" s="50"/>
      <c r="F370" s="51"/>
      <c r="G370" s="57"/>
      <c r="H370" s="51"/>
      <c r="I370" s="52"/>
      <c r="J370" s="20"/>
      <c r="K370" s="21"/>
      <c r="L370" s="21"/>
      <c r="M370" s="46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59"/>
      <c r="AM370" s="23"/>
      <c r="AN370" s="23"/>
      <c r="AO370" s="24"/>
      <c r="AQ370" s="35"/>
      <c r="AR370" s="35"/>
      <c r="AS370" s="35"/>
      <c r="AT370" s="35"/>
      <c r="AU370" s="35"/>
      <c r="AV370" s="35"/>
      <c r="AW370" s="35"/>
      <c r="AX370" s="35"/>
      <c r="AY370" s="35"/>
      <c r="BA370" s="35"/>
      <c r="BC370" s="56"/>
      <c r="BD370" s="55"/>
      <c r="BF370" s="89"/>
    </row>
    <row r="371" spans="1:58" s="25" customFormat="1" x14ac:dyDescent="0.3">
      <c r="A371" s="19"/>
      <c r="B371" s="19"/>
      <c r="C371" s="50"/>
      <c r="D371" s="50"/>
      <c r="E371" s="50"/>
      <c r="F371" s="51"/>
      <c r="G371" s="57"/>
      <c r="H371" s="51"/>
      <c r="I371" s="52"/>
      <c r="J371" s="20"/>
      <c r="K371" s="21"/>
      <c r="L371" s="21"/>
      <c r="M371" s="46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59"/>
      <c r="AM371" s="23"/>
      <c r="AN371" s="23"/>
      <c r="AO371" s="24"/>
      <c r="AQ371" s="35"/>
      <c r="AR371" s="35"/>
      <c r="AS371" s="35"/>
      <c r="AT371" s="35"/>
      <c r="AU371" s="35"/>
      <c r="AV371" s="35"/>
      <c r="AW371" s="35"/>
      <c r="AX371" s="35"/>
      <c r="AY371" s="35"/>
      <c r="BA371" s="35"/>
      <c r="BC371" s="56"/>
      <c r="BD371" s="55"/>
      <c r="BF371" s="89"/>
    </row>
    <row r="372" spans="1:58" s="25" customFormat="1" x14ac:dyDescent="0.3">
      <c r="A372" s="19"/>
      <c r="B372" s="19"/>
      <c r="C372" s="50"/>
      <c r="D372" s="50"/>
      <c r="E372" s="50"/>
      <c r="F372" s="51"/>
      <c r="G372" s="57"/>
      <c r="H372" s="51"/>
      <c r="I372" s="52"/>
      <c r="J372" s="20"/>
      <c r="K372" s="21"/>
      <c r="L372" s="21"/>
      <c r="M372" s="46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59"/>
      <c r="AM372" s="23"/>
      <c r="AN372" s="23"/>
      <c r="AO372" s="24"/>
      <c r="AQ372" s="35"/>
      <c r="AR372" s="35"/>
      <c r="AS372" s="35"/>
      <c r="AT372" s="35"/>
      <c r="AU372" s="35"/>
      <c r="AV372" s="35"/>
      <c r="AW372" s="35"/>
      <c r="AX372" s="35"/>
      <c r="AY372" s="35"/>
      <c r="BA372" s="35"/>
      <c r="BC372" s="56"/>
      <c r="BD372" s="55"/>
      <c r="BF372" s="89"/>
    </row>
    <row r="373" spans="1:58" s="25" customFormat="1" x14ac:dyDescent="0.3">
      <c r="A373" s="19"/>
      <c r="B373" s="19"/>
      <c r="C373" s="50"/>
      <c r="D373" s="50"/>
      <c r="E373" s="50"/>
      <c r="F373" s="51"/>
      <c r="G373" s="57"/>
      <c r="H373" s="51"/>
      <c r="I373" s="52"/>
      <c r="J373" s="20"/>
      <c r="K373" s="21"/>
      <c r="L373" s="21"/>
      <c r="M373" s="46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59"/>
      <c r="AM373" s="23"/>
      <c r="AN373" s="23"/>
      <c r="AO373" s="24"/>
      <c r="AQ373" s="35"/>
      <c r="AR373" s="35"/>
      <c r="AS373" s="35"/>
      <c r="AT373" s="35"/>
      <c r="AU373" s="35"/>
      <c r="AV373" s="35"/>
      <c r="AW373" s="35"/>
      <c r="AX373" s="35"/>
      <c r="AY373" s="35"/>
      <c r="BA373" s="35"/>
      <c r="BC373" s="56"/>
      <c r="BD373" s="55"/>
      <c r="BF373" s="89"/>
    </row>
    <row r="374" spans="1:58" s="25" customFormat="1" x14ac:dyDescent="0.3">
      <c r="A374" s="19"/>
      <c r="B374" s="19"/>
      <c r="C374" s="50"/>
      <c r="D374" s="50"/>
      <c r="E374" s="50"/>
      <c r="F374" s="51"/>
      <c r="G374" s="57"/>
      <c r="H374" s="51"/>
      <c r="I374" s="52"/>
      <c r="J374" s="20"/>
      <c r="K374" s="21"/>
      <c r="L374" s="21"/>
      <c r="M374" s="46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59"/>
      <c r="AM374" s="23"/>
      <c r="AN374" s="23"/>
      <c r="AO374" s="24"/>
      <c r="AQ374" s="35"/>
      <c r="AR374" s="35"/>
      <c r="AS374" s="35"/>
      <c r="AT374" s="35"/>
      <c r="AU374" s="35"/>
      <c r="AV374" s="35"/>
      <c r="AW374" s="35"/>
      <c r="AX374" s="35"/>
      <c r="AY374" s="35"/>
      <c r="BA374" s="35"/>
      <c r="BC374" s="56"/>
      <c r="BD374" s="55"/>
      <c r="BF374" s="89"/>
    </row>
    <row r="375" spans="1:58" s="25" customFormat="1" x14ac:dyDescent="0.3">
      <c r="A375" s="19"/>
      <c r="B375" s="19"/>
      <c r="C375" s="50"/>
      <c r="D375" s="50"/>
      <c r="E375" s="50"/>
      <c r="F375" s="51"/>
      <c r="G375" s="57"/>
      <c r="H375" s="51"/>
      <c r="I375" s="52"/>
      <c r="J375" s="20"/>
      <c r="K375" s="21"/>
      <c r="L375" s="21"/>
      <c r="M375" s="46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59"/>
      <c r="AM375" s="23"/>
      <c r="AN375" s="23"/>
      <c r="AO375" s="24"/>
      <c r="AQ375" s="35"/>
      <c r="AR375" s="35"/>
      <c r="AS375" s="35"/>
      <c r="AT375" s="35"/>
      <c r="AU375" s="35"/>
      <c r="AV375" s="35"/>
      <c r="AW375" s="35"/>
      <c r="AX375" s="35"/>
      <c r="AY375" s="35"/>
      <c r="BA375" s="35"/>
      <c r="BC375" s="56"/>
      <c r="BD375" s="55"/>
      <c r="BF375" s="89"/>
    </row>
    <row r="376" spans="1:58" s="25" customFormat="1" x14ac:dyDescent="0.3">
      <c r="A376" s="19"/>
      <c r="B376" s="19"/>
      <c r="C376" s="50"/>
      <c r="D376" s="50"/>
      <c r="E376" s="50"/>
      <c r="F376" s="51"/>
      <c r="G376" s="57"/>
      <c r="H376" s="51"/>
      <c r="I376" s="52"/>
      <c r="J376" s="20"/>
      <c r="K376" s="21"/>
      <c r="L376" s="21"/>
      <c r="M376" s="46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59"/>
      <c r="AM376" s="23"/>
      <c r="AN376" s="23"/>
      <c r="AO376" s="24"/>
      <c r="AQ376" s="35"/>
      <c r="AR376" s="35"/>
      <c r="AS376" s="35"/>
      <c r="AT376" s="35"/>
      <c r="AU376" s="35"/>
      <c r="AV376" s="35"/>
      <c r="AW376" s="35"/>
      <c r="AX376" s="35"/>
      <c r="AY376" s="35"/>
      <c r="BA376" s="35"/>
      <c r="BC376" s="56"/>
      <c r="BD376" s="55"/>
      <c r="BF376" s="89"/>
    </row>
    <row r="377" spans="1:58" s="25" customFormat="1" x14ac:dyDescent="0.3">
      <c r="A377" s="19"/>
      <c r="B377" s="19"/>
      <c r="C377" s="50"/>
      <c r="D377" s="50"/>
      <c r="E377" s="50"/>
      <c r="F377" s="51"/>
      <c r="G377" s="57"/>
      <c r="H377" s="51"/>
      <c r="I377" s="52"/>
      <c r="J377" s="20"/>
      <c r="K377" s="21"/>
      <c r="L377" s="21"/>
      <c r="M377" s="46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59"/>
      <c r="AM377" s="23"/>
      <c r="AN377" s="23"/>
      <c r="AO377" s="24"/>
      <c r="AQ377" s="35"/>
      <c r="AR377" s="35"/>
      <c r="AS377" s="35"/>
      <c r="AT377" s="35"/>
      <c r="AU377" s="35"/>
      <c r="AV377" s="35"/>
      <c r="AW377" s="35"/>
      <c r="AX377" s="35"/>
      <c r="AY377" s="35"/>
      <c r="BA377" s="35"/>
      <c r="BC377" s="56"/>
      <c r="BD377" s="55"/>
      <c r="BF377" s="89"/>
    </row>
    <row r="378" spans="1:58" s="25" customFormat="1" x14ac:dyDescent="0.3">
      <c r="A378" s="19"/>
      <c r="B378" s="19"/>
      <c r="C378" s="50"/>
      <c r="D378" s="50"/>
      <c r="E378" s="50"/>
      <c r="F378" s="51"/>
      <c r="G378" s="57"/>
      <c r="H378" s="51"/>
      <c r="I378" s="52"/>
      <c r="J378" s="20"/>
      <c r="K378" s="21"/>
      <c r="L378" s="21"/>
      <c r="M378" s="46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59"/>
      <c r="AM378" s="23"/>
      <c r="AN378" s="23"/>
      <c r="AO378" s="24"/>
      <c r="AQ378" s="35"/>
      <c r="AR378" s="35"/>
      <c r="AS378" s="35"/>
      <c r="AT378" s="35"/>
      <c r="AU378" s="35"/>
      <c r="AV378" s="35"/>
      <c r="AW378" s="35"/>
      <c r="AX378" s="35"/>
      <c r="AY378" s="35"/>
      <c r="BA378" s="35"/>
      <c r="BC378" s="56"/>
      <c r="BD378" s="55"/>
      <c r="BF378" s="89"/>
    </row>
    <row r="379" spans="1:58" s="25" customFormat="1" x14ac:dyDescent="0.3">
      <c r="A379" s="19"/>
      <c r="B379" s="19"/>
      <c r="C379" s="50"/>
      <c r="D379" s="50"/>
      <c r="E379" s="50"/>
      <c r="F379" s="51"/>
      <c r="G379" s="57"/>
      <c r="H379" s="51"/>
      <c r="I379" s="52"/>
      <c r="J379" s="20"/>
      <c r="K379" s="21"/>
      <c r="L379" s="21"/>
      <c r="M379" s="46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59"/>
      <c r="AM379" s="23"/>
      <c r="AN379" s="23"/>
      <c r="AO379" s="24"/>
      <c r="AQ379" s="35"/>
      <c r="AR379" s="35"/>
      <c r="AS379" s="35"/>
      <c r="AT379" s="35"/>
      <c r="AU379" s="35"/>
      <c r="AV379" s="35"/>
      <c r="AW379" s="35"/>
      <c r="AX379" s="35"/>
      <c r="AY379" s="35"/>
      <c r="BA379" s="35"/>
      <c r="BC379" s="56"/>
      <c r="BD379" s="55"/>
      <c r="BF379" s="89"/>
    </row>
    <row r="380" spans="1:58" s="25" customFormat="1" x14ac:dyDescent="0.3">
      <c r="A380" s="19"/>
      <c r="B380" s="19"/>
      <c r="C380" s="50"/>
      <c r="D380" s="50"/>
      <c r="E380" s="50"/>
      <c r="F380" s="51"/>
      <c r="G380" s="57"/>
      <c r="H380" s="51"/>
      <c r="I380" s="52"/>
      <c r="J380" s="20"/>
      <c r="K380" s="21"/>
      <c r="L380" s="21"/>
      <c r="M380" s="46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59"/>
      <c r="AM380" s="23"/>
      <c r="AN380" s="23"/>
      <c r="AO380" s="24"/>
      <c r="AQ380" s="35"/>
      <c r="AR380" s="35"/>
      <c r="AS380" s="35"/>
      <c r="AT380" s="35"/>
      <c r="AU380" s="35"/>
      <c r="AV380" s="35"/>
      <c r="AW380" s="35"/>
      <c r="AX380" s="35"/>
      <c r="AY380" s="35"/>
      <c r="BA380" s="35"/>
      <c r="BC380" s="56"/>
      <c r="BD380" s="55"/>
      <c r="BF380" s="89"/>
    </row>
    <row r="381" spans="1:58" s="25" customFormat="1" x14ac:dyDescent="0.3">
      <c r="A381" s="19"/>
      <c r="B381" s="19"/>
      <c r="C381" s="50"/>
      <c r="D381" s="50"/>
      <c r="E381" s="50"/>
      <c r="F381" s="51"/>
      <c r="G381" s="57"/>
      <c r="H381" s="51"/>
      <c r="I381" s="52"/>
      <c r="J381" s="20"/>
      <c r="K381" s="21"/>
      <c r="L381" s="21"/>
      <c r="M381" s="46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59"/>
      <c r="AM381" s="23"/>
      <c r="AN381" s="23"/>
      <c r="AO381" s="24"/>
      <c r="AQ381" s="35"/>
      <c r="AR381" s="35"/>
      <c r="AS381" s="35"/>
      <c r="AT381" s="35"/>
      <c r="AU381" s="35"/>
      <c r="AV381" s="35"/>
      <c r="AW381" s="35"/>
      <c r="AX381" s="35"/>
      <c r="AY381" s="35"/>
      <c r="BA381" s="35"/>
      <c r="BC381" s="56"/>
      <c r="BD381" s="55"/>
      <c r="BF381" s="89"/>
    </row>
    <row r="382" spans="1:58" s="25" customFormat="1" x14ac:dyDescent="0.3">
      <c r="A382" s="19"/>
      <c r="B382" s="19"/>
      <c r="C382" s="50"/>
      <c r="D382" s="50"/>
      <c r="E382" s="50"/>
      <c r="F382" s="51"/>
      <c r="G382" s="57"/>
      <c r="H382" s="51"/>
      <c r="I382" s="52"/>
      <c r="J382" s="20"/>
      <c r="K382" s="21"/>
      <c r="L382" s="21"/>
      <c r="M382" s="46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59"/>
      <c r="AM382" s="23"/>
      <c r="AN382" s="23"/>
      <c r="AO382" s="24"/>
      <c r="AQ382" s="35"/>
      <c r="AR382" s="35"/>
      <c r="AS382" s="35"/>
      <c r="AT382" s="35"/>
      <c r="AU382" s="35"/>
      <c r="AV382" s="35"/>
      <c r="AW382" s="35"/>
      <c r="AX382" s="35"/>
      <c r="AY382" s="35"/>
      <c r="BA382" s="35"/>
      <c r="BC382" s="56"/>
      <c r="BD382" s="55"/>
      <c r="BF382" s="89"/>
    </row>
    <row r="383" spans="1:58" s="25" customFormat="1" x14ac:dyDescent="0.3">
      <c r="A383" s="19"/>
      <c r="B383" s="19"/>
      <c r="C383" s="50"/>
      <c r="D383" s="50"/>
      <c r="E383" s="50"/>
      <c r="F383" s="51"/>
      <c r="G383" s="57"/>
      <c r="H383" s="51"/>
      <c r="I383" s="52"/>
      <c r="J383" s="20"/>
      <c r="K383" s="21"/>
      <c r="L383" s="21"/>
      <c r="M383" s="46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59"/>
      <c r="AM383" s="23"/>
      <c r="AN383" s="23"/>
      <c r="AO383" s="24"/>
      <c r="AQ383" s="35"/>
      <c r="AR383" s="35"/>
      <c r="AS383" s="35"/>
      <c r="AT383" s="35"/>
      <c r="AU383" s="35"/>
      <c r="AV383" s="35"/>
      <c r="AW383" s="35"/>
      <c r="AX383" s="35"/>
      <c r="AY383" s="35"/>
      <c r="BA383" s="35"/>
      <c r="BC383" s="56"/>
      <c r="BD383" s="55"/>
      <c r="BF383" s="89"/>
    </row>
    <row r="384" spans="1:58" s="25" customFormat="1" x14ac:dyDescent="0.3">
      <c r="A384" s="19"/>
      <c r="B384" s="19"/>
      <c r="C384" s="50"/>
      <c r="D384" s="50"/>
      <c r="E384" s="50"/>
      <c r="F384" s="51"/>
      <c r="G384" s="57"/>
      <c r="H384" s="51"/>
      <c r="I384" s="52"/>
      <c r="J384" s="20"/>
      <c r="K384" s="21"/>
      <c r="L384" s="21"/>
      <c r="M384" s="46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59"/>
      <c r="AM384" s="23"/>
      <c r="AN384" s="23"/>
      <c r="AO384" s="24"/>
      <c r="AQ384" s="35"/>
      <c r="AR384" s="35"/>
      <c r="AS384" s="35"/>
      <c r="AT384" s="35"/>
      <c r="AU384" s="35"/>
      <c r="AV384" s="35"/>
      <c r="AW384" s="35"/>
      <c r="AX384" s="35"/>
      <c r="AY384" s="35"/>
      <c r="BA384" s="35"/>
      <c r="BC384" s="56"/>
      <c r="BD384" s="55"/>
      <c r="BF384" s="89"/>
    </row>
    <row r="385" spans="1:58" s="25" customFormat="1" x14ac:dyDescent="0.3">
      <c r="A385" s="19"/>
      <c r="B385" s="19"/>
      <c r="C385" s="50"/>
      <c r="D385" s="50"/>
      <c r="E385" s="50"/>
      <c r="F385" s="51"/>
      <c r="G385" s="57"/>
      <c r="H385" s="51"/>
      <c r="I385" s="52"/>
      <c r="J385" s="20"/>
      <c r="K385" s="21"/>
      <c r="L385" s="21"/>
      <c r="M385" s="46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59"/>
      <c r="AM385" s="23"/>
      <c r="AN385" s="23"/>
      <c r="AO385" s="24"/>
      <c r="AQ385" s="35"/>
      <c r="AR385" s="35"/>
      <c r="AS385" s="35"/>
      <c r="AT385" s="35"/>
      <c r="AU385" s="35"/>
      <c r="AV385" s="35"/>
      <c r="AW385" s="35"/>
      <c r="AX385" s="35"/>
      <c r="AY385" s="35"/>
      <c r="BA385" s="35"/>
      <c r="BC385" s="56"/>
      <c r="BD385" s="55"/>
      <c r="BF385" s="89"/>
    </row>
    <row r="386" spans="1:58" s="25" customFormat="1" x14ac:dyDescent="0.3">
      <c r="A386" s="19"/>
      <c r="B386" s="19"/>
      <c r="C386" s="50"/>
      <c r="D386" s="50"/>
      <c r="E386" s="50"/>
      <c r="F386" s="51"/>
      <c r="G386" s="57"/>
      <c r="H386" s="51"/>
      <c r="I386" s="52"/>
      <c r="J386" s="20"/>
      <c r="K386" s="21"/>
      <c r="L386" s="21"/>
      <c r="M386" s="46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59"/>
      <c r="AM386" s="23"/>
      <c r="AN386" s="23"/>
      <c r="AO386" s="24"/>
      <c r="AQ386" s="35"/>
      <c r="AR386" s="35"/>
      <c r="AS386" s="35"/>
      <c r="AT386" s="35"/>
      <c r="AU386" s="35"/>
      <c r="AV386" s="35"/>
      <c r="AW386" s="35"/>
      <c r="AX386" s="35"/>
      <c r="AY386" s="35"/>
      <c r="BA386" s="35"/>
      <c r="BC386" s="56"/>
      <c r="BD386" s="55"/>
      <c r="BF386" s="89"/>
    </row>
    <row r="387" spans="1:58" s="25" customFormat="1" x14ac:dyDescent="0.3">
      <c r="A387" s="19"/>
      <c r="B387" s="42"/>
      <c r="C387" s="43"/>
      <c r="D387" s="43"/>
      <c r="E387" s="43"/>
      <c r="F387" s="44"/>
      <c r="G387" s="58"/>
      <c r="H387" s="44"/>
      <c r="I387" s="45"/>
      <c r="J387" s="62"/>
      <c r="K387" s="63"/>
      <c r="L387" s="63"/>
      <c r="M387" s="64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59"/>
      <c r="AM387" s="23"/>
      <c r="AN387" s="23"/>
      <c r="AO387" s="24"/>
      <c r="AQ387" s="35"/>
      <c r="AR387" s="35"/>
      <c r="AS387" s="35"/>
      <c r="AT387" s="35"/>
      <c r="AU387" s="35"/>
      <c r="AV387" s="35"/>
      <c r="AW387" s="35"/>
      <c r="AX387" s="35"/>
      <c r="AY387" s="35"/>
      <c r="BA387" s="35"/>
      <c r="BC387" s="56"/>
      <c r="BD387" s="55"/>
      <c r="BF387" s="89"/>
    </row>
    <row r="388" spans="1:58" s="25" customFormat="1" x14ac:dyDescent="0.3">
      <c r="A388" s="19"/>
      <c r="B388" s="19"/>
      <c r="C388" s="50"/>
      <c r="D388" s="50"/>
      <c r="E388" s="50"/>
      <c r="F388" s="51"/>
      <c r="G388" s="57"/>
      <c r="H388" s="51"/>
      <c r="I388" s="52"/>
      <c r="J388" s="20"/>
      <c r="K388" s="21"/>
      <c r="L388" s="21"/>
      <c r="M388" s="46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59"/>
      <c r="AM388" s="23"/>
      <c r="AN388" s="23"/>
      <c r="AO388" s="24"/>
      <c r="AQ388" s="35"/>
      <c r="AR388" s="35"/>
      <c r="AS388" s="35"/>
      <c r="AT388" s="35"/>
      <c r="AU388" s="35"/>
      <c r="AV388" s="35"/>
      <c r="AW388" s="35"/>
      <c r="AX388" s="35"/>
      <c r="AY388" s="35"/>
      <c r="BA388" s="35"/>
      <c r="BC388" s="56"/>
      <c r="BD388" s="55"/>
      <c r="BF388" s="89"/>
    </row>
    <row r="389" spans="1:58" s="25" customFormat="1" x14ac:dyDescent="0.3">
      <c r="A389" s="19"/>
      <c r="B389" s="19"/>
      <c r="C389" s="50"/>
      <c r="D389" s="50"/>
      <c r="E389" s="50"/>
      <c r="F389" s="51"/>
      <c r="G389" s="57"/>
      <c r="H389" s="51"/>
      <c r="I389" s="52"/>
      <c r="J389" s="20"/>
      <c r="K389" s="21"/>
      <c r="L389" s="21"/>
      <c r="M389" s="46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59"/>
      <c r="AM389" s="23"/>
      <c r="AN389" s="23"/>
      <c r="AO389" s="24"/>
      <c r="AQ389" s="35"/>
      <c r="AR389" s="35"/>
      <c r="AS389" s="35"/>
      <c r="AT389" s="35"/>
      <c r="AU389" s="35"/>
      <c r="AV389" s="35"/>
      <c r="AW389" s="35"/>
      <c r="AX389" s="35"/>
      <c r="AY389" s="35"/>
      <c r="BA389" s="35"/>
      <c r="BC389" s="56"/>
      <c r="BD389" s="55"/>
      <c r="BF389" s="89"/>
    </row>
    <row r="390" spans="1:58" s="25" customFormat="1" x14ac:dyDescent="0.3">
      <c r="A390" s="19"/>
      <c r="B390" s="19"/>
      <c r="C390" s="50"/>
      <c r="D390" s="50"/>
      <c r="E390" s="50"/>
      <c r="F390" s="51"/>
      <c r="G390" s="57"/>
      <c r="H390" s="51"/>
      <c r="I390" s="52"/>
      <c r="J390" s="20"/>
      <c r="K390" s="21"/>
      <c r="L390" s="21"/>
      <c r="M390" s="46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59"/>
      <c r="AM390" s="23"/>
      <c r="AN390" s="23"/>
      <c r="AO390" s="24"/>
      <c r="AQ390" s="35"/>
      <c r="AR390" s="35"/>
      <c r="AS390" s="35"/>
      <c r="AT390" s="35"/>
      <c r="AU390" s="35"/>
      <c r="AV390" s="35"/>
      <c r="AW390" s="35"/>
      <c r="AX390" s="35"/>
      <c r="AY390" s="35"/>
      <c r="BA390" s="35"/>
      <c r="BC390" s="56"/>
      <c r="BD390" s="55"/>
      <c r="BF390" s="89"/>
    </row>
    <row r="391" spans="1:58" s="25" customFormat="1" x14ac:dyDescent="0.3">
      <c r="A391" s="19"/>
      <c r="B391" s="19"/>
      <c r="C391" s="50"/>
      <c r="D391" s="50"/>
      <c r="E391" s="50"/>
      <c r="F391" s="51"/>
      <c r="G391" s="57"/>
      <c r="H391" s="51"/>
      <c r="I391" s="52"/>
      <c r="J391" s="20"/>
      <c r="K391" s="21"/>
      <c r="L391" s="21"/>
      <c r="M391" s="46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59"/>
      <c r="AM391" s="23"/>
      <c r="AN391" s="23"/>
      <c r="AO391" s="24"/>
      <c r="AQ391" s="35"/>
      <c r="AR391" s="35"/>
      <c r="AS391" s="35"/>
      <c r="AT391" s="35"/>
      <c r="AU391" s="35"/>
      <c r="AV391" s="35"/>
      <c r="AW391" s="35"/>
      <c r="AX391" s="35"/>
      <c r="AY391" s="35"/>
      <c r="BA391" s="35"/>
      <c r="BC391" s="56"/>
      <c r="BD391" s="55"/>
      <c r="BF391" s="89"/>
    </row>
    <row r="392" spans="1:58" s="25" customFormat="1" x14ac:dyDescent="0.3">
      <c r="A392" s="19"/>
      <c r="B392" s="19"/>
      <c r="C392" s="50"/>
      <c r="D392" s="50"/>
      <c r="E392" s="50"/>
      <c r="F392" s="51"/>
      <c r="G392" s="57"/>
      <c r="H392" s="51"/>
      <c r="I392" s="52"/>
      <c r="J392" s="20"/>
      <c r="K392" s="21"/>
      <c r="L392" s="21"/>
      <c r="M392" s="46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59"/>
      <c r="AM392" s="23"/>
      <c r="AN392" s="23"/>
      <c r="AO392" s="24"/>
      <c r="AQ392" s="35"/>
      <c r="AR392" s="35"/>
      <c r="AS392" s="35"/>
      <c r="AT392" s="35"/>
      <c r="AU392" s="35"/>
      <c r="AV392" s="35"/>
      <c r="AW392" s="35"/>
      <c r="AX392" s="35"/>
      <c r="AY392" s="35"/>
      <c r="BA392" s="35"/>
      <c r="BC392" s="56"/>
      <c r="BD392" s="55"/>
      <c r="BF392" s="89"/>
    </row>
    <row r="393" spans="1:58" s="25" customFormat="1" x14ac:dyDescent="0.3">
      <c r="A393" s="19"/>
      <c r="B393" s="19"/>
      <c r="C393" s="50"/>
      <c r="D393" s="50"/>
      <c r="E393" s="50"/>
      <c r="F393" s="51"/>
      <c r="G393" s="57"/>
      <c r="H393" s="51"/>
      <c r="I393" s="52"/>
      <c r="J393" s="20"/>
      <c r="K393" s="21"/>
      <c r="L393" s="21"/>
      <c r="M393" s="46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59"/>
      <c r="AM393" s="23"/>
      <c r="AN393" s="23"/>
      <c r="AO393" s="24"/>
      <c r="AQ393" s="35"/>
      <c r="AR393" s="35"/>
      <c r="AS393" s="35"/>
      <c r="AT393" s="35"/>
      <c r="AU393" s="35"/>
      <c r="AV393" s="35"/>
      <c r="AW393" s="35"/>
      <c r="AX393" s="35"/>
      <c r="AY393" s="35"/>
      <c r="BA393" s="35"/>
      <c r="BC393" s="56"/>
      <c r="BD393" s="55"/>
      <c r="BF393" s="89"/>
    </row>
    <row r="394" spans="1:58" s="25" customFormat="1" x14ac:dyDescent="0.3">
      <c r="A394" s="19"/>
      <c r="B394" s="19"/>
      <c r="C394" s="50"/>
      <c r="D394" s="50"/>
      <c r="E394" s="50"/>
      <c r="F394" s="51"/>
      <c r="G394" s="57"/>
      <c r="H394" s="51"/>
      <c r="I394" s="52"/>
      <c r="J394" s="20"/>
      <c r="K394" s="21"/>
      <c r="L394" s="21"/>
      <c r="M394" s="46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59"/>
      <c r="AM394" s="23"/>
      <c r="AN394" s="23"/>
      <c r="AO394" s="24"/>
      <c r="AQ394" s="35"/>
      <c r="AR394" s="35"/>
      <c r="AS394" s="35"/>
      <c r="AT394" s="35"/>
      <c r="AU394" s="35"/>
      <c r="AV394" s="35"/>
      <c r="AW394" s="35"/>
      <c r="AX394" s="35"/>
      <c r="AY394" s="35"/>
      <c r="BA394" s="35"/>
      <c r="BC394" s="56"/>
      <c r="BD394" s="55"/>
      <c r="BF394" s="89"/>
    </row>
    <row r="395" spans="1:58" s="25" customFormat="1" x14ac:dyDescent="0.3">
      <c r="A395" s="19"/>
      <c r="B395" s="19"/>
      <c r="C395" s="50"/>
      <c r="D395" s="50"/>
      <c r="E395" s="50"/>
      <c r="F395" s="51"/>
      <c r="G395" s="57"/>
      <c r="H395" s="51"/>
      <c r="I395" s="52"/>
      <c r="J395" s="20"/>
      <c r="K395" s="21"/>
      <c r="L395" s="21"/>
      <c r="M395" s="46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59"/>
      <c r="AM395" s="23"/>
      <c r="AN395" s="23"/>
      <c r="AO395" s="24"/>
      <c r="AQ395" s="35"/>
      <c r="AR395" s="35"/>
      <c r="AS395" s="35"/>
      <c r="AT395" s="35"/>
      <c r="AU395" s="35"/>
      <c r="AV395" s="35"/>
      <c r="AW395" s="35"/>
      <c r="AX395" s="35"/>
      <c r="AY395" s="35"/>
      <c r="BA395" s="35"/>
      <c r="BC395" s="56"/>
      <c r="BD395" s="55"/>
      <c r="BF395" s="89"/>
    </row>
    <row r="396" spans="1:58" s="25" customFormat="1" x14ac:dyDescent="0.3">
      <c r="A396" s="19"/>
      <c r="B396" s="19"/>
      <c r="C396" s="50"/>
      <c r="D396" s="50"/>
      <c r="E396" s="50"/>
      <c r="F396" s="51"/>
      <c r="G396" s="57"/>
      <c r="H396" s="51"/>
      <c r="I396" s="52"/>
      <c r="J396" s="20"/>
      <c r="K396" s="21"/>
      <c r="L396" s="21"/>
      <c r="M396" s="46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59"/>
      <c r="AM396" s="23"/>
      <c r="AN396" s="23"/>
      <c r="AO396" s="24"/>
      <c r="AQ396" s="35"/>
      <c r="AR396" s="35"/>
      <c r="AS396" s="35"/>
      <c r="AT396" s="35"/>
      <c r="AU396" s="35"/>
      <c r="AV396" s="35"/>
      <c r="AW396" s="35"/>
      <c r="AX396" s="35"/>
      <c r="AY396" s="35"/>
      <c r="BA396" s="35"/>
      <c r="BC396" s="56"/>
      <c r="BD396" s="55"/>
      <c r="BF396" s="89"/>
    </row>
    <row r="397" spans="1:58" s="25" customFormat="1" x14ac:dyDescent="0.3">
      <c r="A397" s="19"/>
      <c r="B397" s="19"/>
      <c r="C397" s="50"/>
      <c r="D397" s="50"/>
      <c r="E397" s="50"/>
      <c r="F397" s="51"/>
      <c r="G397" s="57"/>
      <c r="H397" s="51"/>
      <c r="I397" s="52"/>
      <c r="J397" s="20"/>
      <c r="K397" s="21"/>
      <c r="L397" s="21"/>
      <c r="M397" s="46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59"/>
      <c r="AM397" s="23"/>
      <c r="AN397" s="23"/>
      <c r="AO397" s="24"/>
      <c r="AQ397" s="35"/>
      <c r="AR397" s="35"/>
      <c r="AS397" s="35"/>
      <c r="AT397" s="35"/>
      <c r="AU397" s="35"/>
      <c r="AV397" s="35"/>
      <c r="AW397" s="35"/>
      <c r="AX397" s="35"/>
      <c r="AY397" s="35"/>
      <c r="BA397" s="35"/>
      <c r="BC397" s="56"/>
      <c r="BD397" s="55"/>
      <c r="BF397" s="89"/>
    </row>
    <row r="398" spans="1:58" s="25" customFormat="1" x14ac:dyDescent="0.3">
      <c r="A398" s="19"/>
      <c r="B398" s="19"/>
      <c r="C398" s="50"/>
      <c r="D398" s="50"/>
      <c r="E398" s="50"/>
      <c r="F398" s="51"/>
      <c r="G398" s="57"/>
      <c r="H398" s="51"/>
      <c r="I398" s="52"/>
      <c r="J398" s="20"/>
      <c r="K398" s="21"/>
      <c r="L398" s="21"/>
      <c r="M398" s="46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59"/>
      <c r="AM398" s="23"/>
      <c r="AN398" s="23"/>
      <c r="AO398" s="24"/>
      <c r="AQ398" s="35"/>
      <c r="AR398" s="35"/>
      <c r="AS398" s="35"/>
      <c r="AT398" s="35"/>
      <c r="AU398" s="35"/>
      <c r="AV398" s="35"/>
      <c r="AW398" s="35"/>
      <c r="AX398" s="35"/>
      <c r="AY398" s="35"/>
      <c r="BA398" s="35"/>
      <c r="BC398" s="56"/>
      <c r="BD398" s="55"/>
      <c r="BF398" s="89"/>
    </row>
    <row r="399" spans="1:58" s="25" customFormat="1" x14ac:dyDescent="0.3">
      <c r="A399" s="19"/>
      <c r="B399" s="19"/>
      <c r="C399" s="50"/>
      <c r="D399" s="50"/>
      <c r="E399" s="50"/>
      <c r="F399" s="51"/>
      <c r="G399" s="57"/>
      <c r="H399" s="51"/>
      <c r="I399" s="52"/>
      <c r="J399" s="20"/>
      <c r="K399" s="21"/>
      <c r="L399" s="21"/>
      <c r="M399" s="46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59"/>
      <c r="AM399" s="23"/>
      <c r="AN399" s="23"/>
      <c r="AO399" s="24"/>
      <c r="AQ399" s="35"/>
      <c r="AR399" s="35"/>
      <c r="AS399" s="35"/>
      <c r="AT399" s="35"/>
      <c r="AU399" s="35"/>
      <c r="AV399" s="35"/>
      <c r="AW399" s="35"/>
      <c r="AX399" s="35"/>
      <c r="AY399" s="35"/>
      <c r="BA399" s="35"/>
      <c r="BC399" s="56"/>
      <c r="BD399" s="55"/>
      <c r="BF399" s="89"/>
    </row>
    <row r="400" spans="1:58" s="25" customFormat="1" x14ac:dyDescent="0.3">
      <c r="A400" s="19"/>
      <c r="B400" s="19"/>
      <c r="C400" s="50"/>
      <c r="D400" s="50"/>
      <c r="E400" s="50"/>
      <c r="F400" s="51"/>
      <c r="G400" s="57"/>
      <c r="H400" s="51"/>
      <c r="I400" s="52"/>
      <c r="J400" s="20"/>
      <c r="K400" s="21"/>
      <c r="L400" s="21"/>
      <c r="M400" s="46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59"/>
      <c r="AM400" s="23"/>
      <c r="AN400" s="23"/>
      <c r="AO400" s="24"/>
      <c r="AQ400" s="35"/>
      <c r="AR400" s="35"/>
      <c r="AS400" s="35"/>
      <c r="AT400" s="35"/>
      <c r="AU400" s="35"/>
      <c r="AV400" s="35"/>
      <c r="AW400" s="35"/>
      <c r="AX400" s="35"/>
      <c r="AY400" s="35"/>
      <c r="BA400" s="35"/>
      <c r="BC400" s="56"/>
      <c r="BD400" s="55"/>
      <c r="BF400" s="89"/>
    </row>
    <row r="401" spans="1:58" s="25" customFormat="1" x14ac:dyDescent="0.3">
      <c r="A401" s="19"/>
      <c r="B401" s="19"/>
      <c r="C401" s="50"/>
      <c r="D401" s="50"/>
      <c r="E401" s="50"/>
      <c r="F401" s="51"/>
      <c r="G401" s="57"/>
      <c r="H401" s="51"/>
      <c r="I401" s="52"/>
      <c r="J401" s="20"/>
      <c r="K401" s="21"/>
      <c r="L401" s="21"/>
      <c r="M401" s="46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59"/>
      <c r="AM401" s="23"/>
      <c r="AN401" s="23"/>
      <c r="AO401" s="24"/>
      <c r="AQ401" s="35"/>
      <c r="AR401" s="35"/>
      <c r="AS401" s="35"/>
      <c r="AT401" s="35"/>
      <c r="AU401" s="35"/>
      <c r="AV401" s="35"/>
      <c r="AW401" s="35"/>
      <c r="AX401" s="35"/>
      <c r="AY401" s="35"/>
      <c r="BA401" s="35"/>
      <c r="BC401" s="56"/>
      <c r="BD401" s="55"/>
      <c r="BF401" s="89"/>
    </row>
    <row r="402" spans="1:58" s="25" customFormat="1" x14ac:dyDescent="0.3">
      <c r="A402" s="19"/>
      <c r="B402" s="19"/>
      <c r="C402" s="50"/>
      <c r="D402" s="50"/>
      <c r="E402" s="50"/>
      <c r="F402" s="51"/>
      <c r="G402" s="57"/>
      <c r="H402" s="51"/>
      <c r="I402" s="52"/>
      <c r="J402" s="20"/>
      <c r="K402" s="21"/>
      <c r="L402" s="21"/>
      <c r="M402" s="46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59"/>
      <c r="AM402" s="23"/>
      <c r="AN402" s="23"/>
      <c r="AO402" s="24"/>
      <c r="AQ402" s="35"/>
      <c r="AR402" s="35"/>
      <c r="AS402" s="35"/>
      <c r="AT402" s="35"/>
      <c r="AU402" s="35"/>
      <c r="AV402" s="35"/>
      <c r="AW402" s="35"/>
      <c r="AX402" s="35"/>
      <c r="AY402" s="35"/>
      <c r="BA402" s="35"/>
      <c r="BC402" s="56"/>
      <c r="BD402" s="55"/>
      <c r="BF402" s="89"/>
    </row>
    <row r="403" spans="1:58" s="25" customFormat="1" x14ac:dyDescent="0.3">
      <c r="A403" s="19"/>
      <c r="B403" s="19"/>
      <c r="C403" s="50"/>
      <c r="D403" s="50"/>
      <c r="E403" s="50"/>
      <c r="F403" s="51"/>
      <c r="G403" s="57"/>
      <c r="H403" s="51"/>
      <c r="I403" s="52"/>
      <c r="J403" s="20"/>
      <c r="K403" s="21"/>
      <c r="L403" s="21"/>
      <c r="M403" s="46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59"/>
      <c r="AM403" s="23"/>
      <c r="AN403" s="23"/>
      <c r="AO403" s="24"/>
      <c r="AQ403" s="35"/>
      <c r="AR403" s="35"/>
      <c r="AS403" s="35"/>
      <c r="AT403" s="35"/>
      <c r="AU403" s="35"/>
      <c r="AV403" s="35"/>
      <c r="AW403" s="35"/>
      <c r="AX403" s="35"/>
      <c r="AY403" s="35"/>
      <c r="BA403" s="35"/>
      <c r="BC403" s="56"/>
      <c r="BD403" s="55"/>
      <c r="BF403" s="89"/>
    </row>
    <row r="404" spans="1:58" s="25" customFormat="1" x14ac:dyDescent="0.3">
      <c r="A404" s="19"/>
      <c r="B404" s="19"/>
      <c r="C404" s="50"/>
      <c r="D404" s="50"/>
      <c r="E404" s="50"/>
      <c r="F404" s="51"/>
      <c r="G404" s="57"/>
      <c r="H404" s="51"/>
      <c r="I404" s="52"/>
      <c r="J404" s="20"/>
      <c r="K404" s="21"/>
      <c r="L404" s="21"/>
      <c r="M404" s="46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59"/>
      <c r="AM404" s="23"/>
      <c r="AN404" s="23"/>
      <c r="AO404" s="24"/>
      <c r="AQ404" s="35"/>
      <c r="AR404" s="35"/>
      <c r="AS404" s="35"/>
      <c r="AT404" s="35"/>
      <c r="AU404" s="35"/>
      <c r="AV404" s="35"/>
      <c r="AW404" s="35"/>
      <c r="AX404" s="35"/>
      <c r="AY404" s="35"/>
      <c r="BA404" s="35"/>
      <c r="BC404" s="56"/>
      <c r="BD404" s="55"/>
      <c r="BF404" s="89"/>
    </row>
    <row r="405" spans="1:58" s="25" customFormat="1" x14ac:dyDescent="0.3">
      <c r="A405" s="19"/>
      <c r="B405" s="19"/>
      <c r="C405" s="50"/>
      <c r="D405" s="50"/>
      <c r="E405" s="50"/>
      <c r="F405" s="51"/>
      <c r="G405" s="57"/>
      <c r="H405" s="51"/>
      <c r="I405" s="52"/>
      <c r="J405" s="20"/>
      <c r="K405" s="21"/>
      <c r="L405" s="21"/>
      <c r="M405" s="46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59"/>
      <c r="AM405" s="23"/>
      <c r="AN405" s="23"/>
      <c r="AO405" s="24"/>
      <c r="AQ405" s="35"/>
      <c r="AR405" s="35"/>
      <c r="AS405" s="35"/>
      <c r="AT405" s="35"/>
      <c r="AU405" s="35"/>
      <c r="AV405" s="35"/>
      <c r="AW405" s="35"/>
      <c r="AX405" s="35"/>
      <c r="AY405" s="35"/>
      <c r="BA405" s="35"/>
      <c r="BC405" s="56"/>
      <c r="BD405" s="55"/>
      <c r="BF405" s="89"/>
    </row>
    <row r="406" spans="1:58" s="25" customFormat="1" x14ac:dyDescent="0.3">
      <c r="A406" s="19"/>
      <c r="B406" s="19"/>
      <c r="C406" s="50"/>
      <c r="D406" s="50"/>
      <c r="E406" s="50"/>
      <c r="F406" s="51"/>
      <c r="G406" s="57"/>
      <c r="H406" s="51"/>
      <c r="I406" s="52"/>
      <c r="J406" s="20"/>
      <c r="K406" s="21"/>
      <c r="L406" s="21"/>
      <c r="M406" s="46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59"/>
      <c r="AM406" s="23"/>
      <c r="AN406" s="23"/>
      <c r="AO406" s="24"/>
      <c r="AQ406" s="35"/>
      <c r="AR406" s="35"/>
      <c r="AS406" s="35"/>
      <c r="AT406" s="35"/>
      <c r="AU406" s="35"/>
      <c r="AV406" s="35"/>
      <c r="AW406" s="35"/>
      <c r="AX406" s="35"/>
      <c r="AY406" s="35"/>
      <c r="BA406" s="35"/>
      <c r="BC406" s="56"/>
      <c r="BD406" s="55"/>
      <c r="BF406" s="89"/>
    </row>
    <row r="407" spans="1:58" s="25" customFormat="1" x14ac:dyDescent="0.3">
      <c r="A407" s="19"/>
      <c r="B407" s="19"/>
      <c r="C407" s="50"/>
      <c r="D407" s="50"/>
      <c r="E407" s="50"/>
      <c r="F407" s="51"/>
      <c r="G407" s="57"/>
      <c r="H407" s="51"/>
      <c r="I407" s="52"/>
      <c r="J407" s="20"/>
      <c r="K407" s="21"/>
      <c r="L407" s="21"/>
      <c r="M407" s="46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59"/>
      <c r="AM407" s="23"/>
      <c r="AN407" s="23"/>
      <c r="AO407" s="24"/>
      <c r="AQ407" s="35"/>
      <c r="AR407" s="35"/>
      <c r="AS407" s="35"/>
      <c r="AT407" s="35"/>
      <c r="AU407" s="35"/>
      <c r="AV407" s="35"/>
      <c r="AW407" s="35"/>
      <c r="AX407" s="35"/>
      <c r="AY407" s="35"/>
      <c r="BA407" s="35"/>
      <c r="BC407" s="56"/>
      <c r="BD407" s="55"/>
      <c r="BF407" s="89"/>
    </row>
    <row r="408" spans="1:58" s="25" customFormat="1" x14ac:dyDescent="0.3">
      <c r="A408" s="19"/>
      <c r="B408" s="42"/>
      <c r="C408" s="43"/>
      <c r="D408" s="43"/>
      <c r="E408" s="43"/>
      <c r="F408" s="44"/>
      <c r="G408" s="58"/>
      <c r="H408" s="44"/>
      <c r="I408" s="45"/>
      <c r="J408" s="62"/>
      <c r="K408" s="63"/>
      <c r="L408" s="63"/>
      <c r="M408" s="64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59"/>
      <c r="AM408" s="23"/>
      <c r="AN408" s="23"/>
      <c r="AO408" s="24"/>
      <c r="AQ408" s="35"/>
      <c r="AR408" s="35"/>
      <c r="AS408" s="35"/>
      <c r="AT408" s="35"/>
      <c r="AU408" s="35"/>
      <c r="AV408" s="35"/>
      <c r="AW408" s="35"/>
      <c r="AX408" s="35"/>
      <c r="AY408" s="35"/>
      <c r="BA408" s="35"/>
      <c r="BC408" s="56"/>
      <c r="BD408" s="55"/>
      <c r="BF408" s="89"/>
    </row>
    <row r="409" spans="1:58" s="25" customFormat="1" x14ac:dyDescent="0.3">
      <c r="A409" s="19"/>
      <c r="B409" s="42"/>
      <c r="C409" s="43"/>
      <c r="D409" s="43"/>
      <c r="E409" s="43"/>
      <c r="F409" s="44"/>
      <c r="G409" s="58"/>
      <c r="H409" s="44"/>
      <c r="I409" s="45"/>
      <c r="J409" s="62"/>
      <c r="K409" s="63"/>
      <c r="L409" s="63"/>
      <c r="M409" s="64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59"/>
      <c r="AM409" s="23"/>
      <c r="AN409" s="23"/>
      <c r="AO409" s="24"/>
      <c r="AQ409" s="35"/>
      <c r="AR409" s="35"/>
      <c r="AS409" s="35"/>
      <c r="AT409" s="35"/>
      <c r="AU409" s="35"/>
      <c r="AV409" s="35"/>
      <c r="AW409" s="35"/>
      <c r="AX409" s="35"/>
      <c r="AY409" s="35"/>
      <c r="BA409" s="35"/>
      <c r="BD409" s="55"/>
      <c r="BF409" s="89"/>
    </row>
    <row r="410" spans="1:58" s="25" customFormat="1" x14ac:dyDescent="0.3">
      <c r="A410" s="19"/>
      <c r="B410" s="19"/>
      <c r="C410" s="50"/>
      <c r="D410" s="50"/>
      <c r="E410" s="50"/>
      <c r="F410" s="51"/>
      <c r="G410" s="57"/>
      <c r="H410" s="51"/>
      <c r="I410" s="52"/>
      <c r="J410" s="20"/>
      <c r="K410" s="21"/>
      <c r="L410" s="21"/>
      <c r="M410" s="46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59"/>
      <c r="AM410" s="23"/>
      <c r="AN410" s="23"/>
      <c r="AO410" s="24"/>
      <c r="AQ410" s="35"/>
      <c r="AR410" s="35"/>
      <c r="AS410" s="35"/>
      <c r="AT410" s="35"/>
      <c r="AU410" s="35"/>
      <c r="AV410" s="35"/>
      <c r="AW410" s="35"/>
      <c r="AX410" s="35"/>
      <c r="AY410" s="35"/>
      <c r="BA410" s="35"/>
      <c r="BC410" s="56"/>
      <c r="BD410" s="55"/>
      <c r="BF410" s="89"/>
    </row>
    <row r="411" spans="1:58" s="25" customFormat="1" x14ac:dyDescent="0.3">
      <c r="A411" s="19"/>
      <c r="B411" s="19"/>
      <c r="C411" s="50"/>
      <c r="D411" s="50"/>
      <c r="E411" s="50"/>
      <c r="F411" s="51"/>
      <c r="G411" s="57"/>
      <c r="H411" s="51"/>
      <c r="I411" s="52"/>
      <c r="J411" s="20"/>
      <c r="K411" s="21"/>
      <c r="L411" s="21"/>
      <c r="M411" s="46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59"/>
      <c r="AM411" s="23"/>
      <c r="AN411" s="23"/>
      <c r="AO411" s="24"/>
      <c r="AQ411" s="35"/>
      <c r="AR411" s="35"/>
      <c r="AS411" s="35"/>
      <c r="AT411" s="35"/>
      <c r="AU411" s="35"/>
      <c r="AV411" s="35"/>
      <c r="AW411" s="35"/>
      <c r="AX411" s="35"/>
      <c r="AY411" s="35"/>
      <c r="BA411" s="35"/>
      <c r="BC411" s="56"/>
      <c r="BD411" s="55"/>
      <c r="BF411" s="89"/>
    </row>
    <row r="412" spans="1:58" s="25" customFormat="1" x14ac:dyDescent="0.3">
      <c r="A412" s="19"/>
      <c r="B412" s="19"/>
      <c r="C412" s="50"/>
      <c r="D412" s="50"/>
      <c r="E412" s="50"/>
      <c r="F412" s="51"/>
      <c r="G412" s="57"/>
      <c r="H412" s="51"/>
      <c r="I412" s="52"/>
      <c r="J412" s="20"/>
      <c r="K412" s="21"/>
      <c r="L412" s="21"/>
      <c r="M412" s="46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59"/>
      <c r="AM412" s="23"/>
      <c r="AN412" s="23"/>
      <c r="AO412" s="24"/>
      <c r="AQ412" s="35"/>
      <c r="AR412" s="35"/>
      <c r="AS412" s="35"/>
      <c r="AT412" s="35"/>
      <c r="AU412" s="35"/>
      <c r="AV412" s="35"/>
      <c r="AW412" s="35"/>
      <c r="AX412" s="35"/>
      <c r="AY412" s="35"/>
      <c r="BA412" s="35"/>
      <c r="BC412" s="56"/>
      <c r="BD412" s="55"/>
      <c r="BF412" s="89"/>
    </row>
    <row r="413" spans="1:58" s="25" customFormat="1" x14ac:dyDescent="0.3">
      <c r="A413" s="19"/>
      <c r="B413" s="19"/>
      <c r="C413" s="50"/>
      <c r="D413" s="50"/>
      <c r="E413" s="50"/>
      <c r="F413" s="51"/>
      <c r="G413" s="57"/>
      <c r="H413" s="51"/>
      <c r="I413" s="52"/>
      <c r="J413" s="20"/>
      <c r="K413" s="21"/>
      <c r="L413" s="21"/>
      <c r="M413" s="46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59"/>
      <c r="AM413" s="23"/>
      <c r="AN413" s="23"/>
      <c r="AO413" s="24"/>
      <c r="AQ413" s="35"/>
      <c r="AR413" s="35"/>
      <c r="AS413" s="35"/>
      <c r="AT413" s="35"/>
      <c r="AU413" s="35"/>
      <c r="AV413" s="35"/>
      <c r="AW413" s="35"/>
      <c r="AX413" s="35"/>
      <c r="AY413" s="35"/>
      <c r="BA413" s="35"/>
      <c r="BC413" s="56"/>
      <c r="BD413" s="55"/>
      <c r="BF413" s="89"/>
    </row>
    <row r="414" spans="1:58" s="25" customFormat="1" x14ac:dyDescent="0.3">
      <c r="A414" s="19"/>
      <c r="B414" s="19"/>
      <c r="C414" s="50"/>
      <c r="D414" s="50"/>
      <c r="E414" s="50"/>
      <c r="F414" s="51"/>
      <c r="G414" s="57"/>
      <c r="H414" s="51"/>
      <c r="I414" s="52"/>
      <c r="J414" s="20"/>
      <c r="K414" s="21"/>
      <c r="L414" s="21"/>
      <c r="M414" s="46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59"/>
      <c r="AM414" s="23"/>
      <c r="AN414" s="23"/>
      <c r="AO414" s="24"/>
      <c r="AQ414" s="35"/>
      <c r="AR414" s="35"/>
      <c r="AS414" s="35"/>
      <c r="AT414" s="35"/>
      <c r="AU414" s="35"/>
      <c r="AV414" s="35"/>
      <c r="AW414" s="35"/>
      <c r="AX414" s="35"/>
      <c r="AY414" s="35"/>
      <c r="BA414" s="35"/>
      <c r="BC414" s="56"/>
      <c r="BD414" s="55"/>
      <c r="BF414" s="89"/>
    </row>
    <row r="415" spans="1:58" s="25" customFormat="1" x14ac:dyDescent="0.3">
      <c r="A415" s="19"/>
      <c r="B415" s="19"/>
      <c r="C415" s="50"/>
      <c r="D415" s="50"/>
      <c r="E415" s="50"/>
      <c r="F415" s="51"/>
      <c r="G415" s="57"/>
      <c r="H415" s="51"/>
      <c r="I415" s="52"/>
      <c r="J415" s="20"/>
      <c r="K415" s="21"/>
      <c r="L415" s="21"/>
      <c r="M415" s="46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59"/>
      <c r="AM415" s="23"/>
      <c r="AN415" s="23"/>
      <c r="AO415" s="24"/>
      <c r="AQ415" s="35"/>
      <c r="AR415" s="35"/>
      <c r="AS415" s="35"/>
      <c r="AT415" s="35"/>
      <c r="AU415" s="35"/>
      <c r="AV415" s="35"/>
      <c r="AW415" s="35"/>
      <c r="AX415" s="35"/>
      <c r="AY415" s="35"/>
      <c r="BA415" s="35"/>
      <c r="BC415" s="56"/>
      <c r="BD415" s="55"/>
      <c r="BF415" s="89"/>
    </row>
    <row r="416" spans="1:58" s="25" customFormat="1" x14ac:dyDescent="0.3">
      <c r="A416" s="19"/>
      <c r="B416" s="19"/>
      <c r="C416" s="50"/>
      <c r="D416" s="50"/>
      <c r="E416" s="50"/>
      <c r="F416" s="51"/>
      <c r="G416" s="57"/>
      <c r="H416" s="51"/>
      <c r="I416" s="52"/>
      <c r="J416" s="20"/>
      <c r="K416" s="21"/>
      <c r="L416" s="21"/>
      <c r="M416" s="46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59"/>
      <c r="AM416" s="23"/>
      <c r="AN416" s="23"/>
      <c r="AO416" s="24"/>
      <c r="AQ416" s="35"/>
      <c r="AR416" s="35"/>
      <c r="AS416" s="35"/>
      <c r="AT416" s="35"/>
      <c r="AU416" s="35"/>
      <c r="AV416" s="35"/>
      <c r="AW416" s="35"/>
      <c r="AX416" s="35"/>
      <c r="AY416" s="35"/>
      <c r="BA416" s="35"/>
      <c r="BC416" s="56"/>
      <c r="BD416" s="55"/>
      <c r="BF416" s="89"/>
    </row>
    <row r="417" spans="1:58" s="25" customFormat="1" x14ac:dyDescent="0.3">
      <c r="A417" s="19"/>
      <c r="B417" s="19"/>
      <c r="C417" s="50"/>
      <c r="D417" s="50"/>
      <c r="E417" s="50"/>
      <c r="F417" s="51"/>
      <c r="G417" s="57"/>
      <c r="H417" s="51"/>
      <c r="I417" s="52"/>
      <c r="J417" s="20"/>
      <c r="K417" s="21"/>
      <c r="L417" s="21"/>
      <c r="M417" s="46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59"/>
      <c r="AM417" s="23"/>
      <c r="AN417" s="23"/>
      <c r="AO417" s="24"/>
      <c r="AQ417" s="35"/>
      <c r="AR417" s="35"/>
      <c r="AS417" s="35"/>
      <c r="AT417" s="35"/>
      <c r="AU417" s="35"/>
      <c r="AV417" s="35"/>
      <c r="AW417" s="35"/>
      <c r="AX417" s="35"/>
      <c r="AY417" s="35"/>
      <c r="BA417" s="35"/>
      <c r="BC417" s="56"/>
      <c r="BD417" s="55"/>
      <c r="BF417" s="89"/>
    </row>
    <row r="418" spans="1:58" s="25" customFormat="1" x14ac:dyDescent="0.3">
      <c r="A418" s="19"/>
      <c r="B418" s="19"/>
      <c r="C418" s="50"/>
      <c r="D418" s="50"/>
      <c r="E418" s="50"/>
      <c r="F418" s="51"/>
      <c r="G418" s="57"/>
      <c r="H418" s="51"/>
      <c r="I418" s="52"/>
      <c r="J418" s="20"/>
      <c r="K418" s="21"/>
      <c r="L418" s="21"/>
      <c r="M418" s="46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59"/>
      <c r="AM418" s="23"/>
      <c r="AN418" s="23"/>
      <c r="AO418" s="24"/>
      <c r="AQ418" s="35"/>
      <c r="AR418" s="35"/>
      <c r="AS418" s="35"/>
      <c r="AT418" s="35"/>
      <c r="AU418" s="35"/>
      <c r="AV418" s="35"/>
      <c r="AW418" s="35"/>
      <c r="AX418" s="35"/>
      <c r="AY418" s="35"/>
      <c r="BA418" s="35"/>
      <c r="BC418" s="56"/>
      <c r="BD418" s="55"/>
      <c r="BF418" s="89"/>
    </row>
    <row r="419" spans="1:58" s="25" customFormat="1" x14ac:dyDescent="0.3">
      <c r="A419" s="19"/>
      <c r="B419" s="19"/>
      <c r="C419" s="50"/>
      <c r="D419" s="50"/>
      <c r="E419" s="50"/>
      <c r="F419" s="51"/>
      <c r="G419" s="57"/>
      <c r="H419" s="51"/>
      <c r="I419" s="52"/>
      <c r="J419" s="20"/>
      <c r="K419" s="21"/>
      <c r="L419" s="21"/>
      <c r="M419" s="46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59"/>
      <c r="AM419" s="23"/>
      <c r="AN419" s="23"/>
      <c r="AO419" s="24"/>
      <c r="AQ419" s="35"/>
      <c r="AR419" s="35"/>
      <c r="AS419" s="35"/>
      <c r="AT419" s="35"/>
      <c r="AU419" s="35"/>
      <c r="AV419" s="35"/>
      <c r="AW419" s="35"/>
      <c r="AX419" s="35"/>
      <c r="AY419" s="35"/>
      <c r="BA419" s="35"/>
      <c r="BC419" s="56"/>
      <c r="BD419" s="55"/>
      <c r="BF419" s="89"/>
    </row>
    <row r="420" spans="1:58" s="25" customFormat="1" x14ac:dyDescent="0.3">
      <c r="A420" s="19"/>
      <c r="B420" s="19"/>
      <c r="C420" s="50"/>
      <c r="D420" s="50"/>
      <c r="E420" s="50"/>
      <c r="F420" s="51"/>
      <c r="G420" s="57"/>
      <c r="H420" s="51"/>
      <c r="I420" s="52"/>
      <c r="J420" s="20"/>
      <c r="K420" s="21"/>
      <c r="L420" s="21"/>
      <c r="M420" s="46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59"/>
      <c r="AM420" s="23"/>
      <c r="AN420" s="23"/>
      <c r="AO420" s="24"/>
      <c r="AQ420" s="35"/>
      <c r="AR420" s="35"/>
      <c r="AS420" s="35"/>
      <c r="AT420" s="35"/>
      <c r="AU420" s="35"/>
      <c r="AV420" s="35"/>
      <c r="AW420" s="35"/>
      <c r="AX420" s="35"/>
      <c r="AY420" s="35"/>
      <c r="BA420" s="35"/>
      <c r="BC420" s="56"/>
      <c r="BD420" s="55"/>
      <c r="BF420" s="89"/>
    </row>
    <row r="421" spans="1:58" s="25" customFormat="1" x14ac:dyDescent="0.3">
      <c r="A421" s="19"/>
      <c r="B421" s="19"/>
      <c r="C421" s="50"/>
      <c r="D421" s="50"/>
      <c r="E421" s="50"/>
      <c r="F421" s="51"/>
      <c r="G421" s="57"/>
      <c r="H421" s="51"/>
      <c r="I421" s="52"/>
      <c r="J421" s="20"/>
      <c r="K421" s="21"/>
      <c r="L421" s="21"/>
      <c r="M421" s="46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59"/>
      <c r="AM421" s="23"/>
      <c r="AN421" s="23"/>
      <c r="AO421" s="24"/>
      <c r="AQ421" s="35"/>
      <c r="AR421" s="35"/>
      <c r="AS421" s="35"/>
      <c r="AT421" s="35"/>
      <c r="AU421" s="35"/>
      <c r="AV421" s="35"/>
      <c r="AW421" s="35"/>
      <c r="AX421" s="35"/>
      <c r="AY421" s="35"/>
      <c r="BA421" s="35"/>
      <c r="BC421" s="56"/>
      <c r="BD421" s="55"/>
      <c r="BF421" s="89"/>
    </row>
    <row r="422" spans="1:58" s="25" customFormat="1" x14ac:dyDescent="0.3">
      <c r="A422" s="19"/>
      <c r="B422" s="19"/>
      <c r="C422" s="50"/>
      <c r="D422" s="50"/>
      <c r="E422" s="50"/>
      <c r="F422" s="51"/>
      <c r="G422" s="57"/>
      <c r="H422" s="51"/>
      <c r="I422" s="52"/>
      <c r="J422" s="20"/>
      <c r="K422" s="21"/>
      <c r="L422" s="21"/>
      <c r="M422" s="46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59"/>
      <c r="AM422" s="23"/>
      <c r="AN422" s="23"/>
      <c r="AO422" s="24"/>
      <c r="AQ422" s="35"/>
      <c r="AR422" s="35"/>
      <c r="AS422" s="35"/>
      <c r="AT422" s="35"/>
      <c r="AU422" s="35"/>
      <c r="AV422" s="35"/>
      <c r="AW422" s="35"/>
      <c r="AX422" s="35"/>
      <c r="AY422" s="35"/>
      <c r="BA422" s="35"/>
      <c r="BC422" s="56"/>
      <c r="BD422" s="55"/>
      <c r="BF422" s="89"/>
    </row>
    <row r="423" spans="1:58" s="25" customFormat="1" x14ac:dyDescent="0.3">
      <c r="A423" s="19"/>
      <c r="B423" s="19"/>
      <c r="C423" s="50"/>
      <c r="D423" s="50"/>
      <c r="E423" s="50"/>
      <c r="F423" s="51"/>
      <c r="G423" s="57"/>
      <c r="H423" s="51"/>
      <c r="I423" s="52"/>
      <c r="J423" s="20"/>
      <c r="K423" s="21"/>
      <c r="L423" s="21"/>
      <c r="M423" s="46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59"/>
      <c r="AM423" s="23"/>
      <c r="AN423" s="23"/>
      <c r="AO423" s="24"/>
      <c r="AQ423" s="35"/>
      <c r="AR423" s="35"/>
      <c r="AS423" s="35"/>
      <c r="AT423" s="35"/>
      <c r="AU423" s="35"/>
      <c r="AV423" s="35"/>
      <c r="AW423" s="35"/>
      <c r="AX423" s="35"/>
      <c r="AY423" s="35"/>
      <c r="BA423" s="35"/>
      <c r="BC423" s="56"/>
      <c r="BD423" s="55"/>
      <c r="BF423" s="89"/>
    </row>
    <row r="424" spans="1:58" s="25" customFormat="1" x14ac:dyDescent="0.3">
      <c r="A424" s="19"/>
      <c r="B424" s="19"/>
      <c r="C424" s="50"/>
      <c r="D424" s="50"/>
      <c r="E424" s="50"/>
      <c r="F424" s="51"/>
      <c r="G424" s="57"/>
      <c r="H424" s="51"/>
      <c r="I424" s="52"/>
      <c r="J424" s="20"/>
      <c r="K424" s="21"/>
      <c r="L424" s="21"/>
      <c r="M424" s="46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59"/>
      <c r="AM424" s="23"/>
      <c r="AN424" s="23"/>
      <c r="AO424" s="24"/>
      <c r="AQ424" s="35"/>
      <c r="AR424" s="35"/>
      <c r="AS424" s="35"/>
      <c r="AT424" s="35"/>
      <c r="AU424" s="35"/>
      <c r="AV424" s="35"/>
      <c r="AW424" s="35"/>
      <c r="AX424" s="35"/>
      <c r="AY424" s="35"/>
      <c r="BA424" s="35"/>
      <c r="BC424" s="56"/>
      <c r="BD424" s="55"/>
      <c r="BF424" s="89"/>
    </row>
    <row r="425" spans="1:58" s="25" customFormat="1" x14ac:dyDescent="0.3">
      <c r="A425" s="19"/>
      <c r="B425" s="19"/>
      <c r="C425" s="50"/>
      <c r="D425" s="50"/>
      <c r="E425" s="50"/>
      <c r="F425" s="51"/>
      <c r="G425" s="57"/>
      <c r="H425" s="51"/>
      <c r="I425" s="52"/>
      <c r="J425" s="20"/>
      <c r="K425" s="21"/>
      <c r="L425" s="21"/>
      <c r="M425" s="46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59"/>
      <c r="AM425" s="23"/>
      <c r="AN425" s="23"/>
      <c r="AO425" s="24"/>
      <c r="AQ425" s="35"/>
      <c r="AR425" s="35"/>
      <c r="AS425" s="35"/>
      <c r="AT425" s="35"/>
      <c r="AU425" s="35"/>
      <c r="AV425" s="35"/>
      <c r="AW425" s="35"/>
      <c r="AX425" s="35"/>
      <c r="AY425" s="35"/>
      <c r="BA425" s="35"/>
      <c r="BC425" s="56"/>
      <c r="BD425" s="55"/>
      <c r="BF425" s="89"/>
    </row>
    <row r="426" spans="1:58" s="25" customFormat="1" x14ac:dyDescent="0.3">
      <c r="A426" s="19"/>
      <c r="B426" s="19"/>
      <c r="C426" s="50"/>
      <c r="D426" s="50"/>
      <c r="E426" s="50"/>
      <c r="F426" s="51"/>
      <c r="G426" s="57"/>
      <c r="H426" s="51"/>
      <c r="I426" s="52"/>
      <c r="J426" s="20"/>
      <c r="K426" s="21"/>
      <c r="L426" s="21"/>
      <c r="M426" s="46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59"/>
      <c r="AM426" s="23"/>
      <c r="AN426" s="23"/>
      <c r="AO426" s="24"/>
      <c r="AQ426" s="35"/>
      <c r="AR426" s="35"/>
      <c r="AS426" s="35"/>
      <c r="AT426" s="35"/>
      <c r="AU426" s="35"/>
      <c r="AV426" s="35"/>
      <c r="AW426" s="35"/>
      <c r="AX426" s="35"/>
      <c r="AY426" s="35"/>
      <c r="BA426" s="35"/>
      <c r="BC426" s="56"/>
      <c r="BD426" s="55"/>
      <c r="BF426" s="89"/>
    </row>
    <row r="427" spans="1:58" s="25" customFormat="1" x14ac:dyDescent="0.3">
      <c r="A427" s="19"/>
      <c r="B427" s="19"/>
      <c r="C427" s="50"/>
      <c r="D427" s="50"/>
      <c r="E427" s="50"/>
      <c r="F427" s="51"/>
      <c r="G427" s="57"/>
      <c r="H427" s="51"/>
      <c r="I427" s="52"/>
      <c r="J427" s="20"/>
      <c r="K427" s="21"/>
      <c r="L427" s="21"/>
      <c r="M427" s="46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59"/>
      <c r="AM427" s="23"/>
      <c r="AN427" s="23"/>
      <c r="AO427" s="24"/>
      <c r="AQ427" s="35"/>
      <c r="AR427" s="35"/>
      <c r="AS427" s="35"/>
      <c r="AT427" s="35"/>
      <c r="AU427" s="35"/>
      <c r="AV427" s="35"/>
      <c r="AW427" s="35"/>
      <c r="AX427" s="35"/>
      <c r="AY427" s="35"/>
      <c r="BA427" s="35"/>
      <c r="BC427" s="56"/>
      <c r="BD427" s="55"/>
      <c r="BF427" s="89"/>
    </row>
    <row r="428" spans="1:58" s="25" customFormat="1" x14ac:dyDescent="0.3">
      <c r="A428" s="19"/>
      <c r="B428" s="19"/>
      <c r="C428" s="50"/>
      <c r="D428" s="50"/>
      <c r="E428" s="50"/>
      <c r="F428" s="51"/>
      <c r="G428" s="57"/>
      <c r="H428" s="51"/>
      <c r="I428" s="52"/>
      <c r="J428" s="20"/>
      <c r="K428" s="21"/>
      <c r="L428" s="21"/>
      <c r="M428" s="46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59"/>
      <c r="AM428" s="23"/>
      <c r="AN428" s="23"/>
      <c r="AO428" s="24"/>
      <c r="AQ428" s="35"/>
      <c r="AR428" s="35"/>
      <c r="AS428" s="35"/>
      <c r="AT428" s="35"/>
      <c r="AU428" s="35"/>
      <c r="AV428" s="35"/>
      <c r="AW428" s="35"/>
      <c r="AX428" s="35"/>
      <c r="AY428" s="35"/>
      <c r="BA428" s="35"/>
      <c r="BC428" s="56"/>
      <c r="BD428" s="55"/>
      <c r="BF428" s="89"/>
    </row>
    <row r="429" spans="1:58" s="25" customFormat="1" x14ac:dyDescent="0.3">
      <c r="A429" s="19"/>
      <c r="B429" s="19"/>
      <c r="C429" s="50"/>
      <c r="D429" s="50"/>
      <c r="E429" s="50"/>
      <c r="F429" s="51"/>
      <c r="G429" s="57"/>
      <c r="H429" s="51"/>
      <c r="I429" s="52"/>
      <c r="J429" s="20"/>
      <c r="K429" s="21"/>
      <c r="L429" s="21"/>
      <c r="M429" s="46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59"/>
      <c r="AM429" s="23"/>
      <c r="AN429" s="23"/>
      <c r="AO429" s="24"/>
      <c r="AQ429" s="35"/>
      <c r="AR429" s="35"/>
      <c r="AS429" s="35"/>
      <c r="AT429" s="35"/>
      <c r="AU429" s="35"/>
      <c r="AV429" s="35"/>
      <c r="AW429" s="35"/>
      <c r="AX429" s="35"/>
      <c r="AY429" s="35"/>
      <c r="BA429" s="35"/>
      <c r="BC429" s="56"/>
      <c r="BD429" s="55"/>
      <c r="BF429" s="89"/>
    </row>
    <row r="430" spans="1:58" s="25" customFormat="1" x14ac:dyDescent="0.3">
      <c r="A430" s="19"/>
      <c r="B430" s="19"/>
      <c r="C430" s="50"/>
      <c r="D430" s="50"/>
      <c r="E430" s="50"/>
      <c r="F430" s="51"/>
      <c r="G430" s="57"/>
      <c r="H430" s="51"/>
      <c r="I430" s="52"/>
      <c r="J430" s="20"/>
      <c r="K430" s="21"/>
      <c r="L430" s="21"/>
      <c r="M430" s="46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59"/>
      <c r="AM430" s="23"/>
      <c r="AN430" s="23"/>
      <c r="AO430" s="24"/>
      <c r="AQ430" s="35"/>
      <c r="AR430" s="35"/>
      <c r="AS430" s="35"/>
      <c r="AT430" s="35"/>
      <c r="AU430" s="35"/>
      <c r="AV430" s="35"/>
      <c r="AW430" s="35"/>
      <c r="AX430" s="35"/>
      <c r="AY430" s="35"/>
      <c r="BA430" s="35"/>
      <c r="BC430" s="56"/>
      <c r="BD430" s="55"/>
      <c r="BF430" s="89"/>
    </row>
    <row r="431" spans="1:58" s="25" customFormat="1" x14ac:dyDescent="0.3">
      <c r="A431" s="19"/>
      <c r="B431" s="19"/>
      <c r="C431" s="50"/>
      <c r="D431" s="50"/>
      <c r="E431" s="50"/>
      <c r="F431" s="51"/>
      <c r="G431" s="57"/>
      <c r="H431" s="51"/>
      <c r="I431" s="52"/>
      <c r="J431" s="20"/>
      <c r="K431" s="21"/>
      <c r="L431" s="21"/>
      <c r="M431" s="46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59"/>
      <c r="AM431" s="23"/>
      <c r="AN431" s="23"/>
      <c r="AO431" s="24"/>
      <c r="AQ431" s="35"/>
      <c r="AR431" s="35"/>
      <c r="AS431" s="35"/>
      <c r="AT431" s="35"/>
      <c r="AU431" s="35"/>
      <c r="AV431" s="35"/>
      <c r="AW431" s="35"/>
      <c r="AX431" s="35"/>
      <c r="AY431" s="35"/>
      <c r="BA431" s="35"/>
      <c r="BC431" s="56"/>
      <c r="BD431" s="55"/>
      <c r="BF431" s="89"/>
    </row>
    <row r="432" spans="1:58" s="25" customFormat="1" x14ac:dyDescent="0.3">
      <c r="A432" s="19"/>
      <c r="B432" s="19"/>
      <c r="C432" s="50"/>
      <c r="D432" s="50"/>
      <c r="E432" s="50"/>
      <c r="F432" s="51"/>
      <c r="G432" s="57"/>
      <c r="H432" s="51"/>
      <c r="I432" s="52"/>
      <c r="J432" s="20"/>
      <c r="K432" s="21"/>
      <c r="L432" s="21"/>
      <c r="M432" s="46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59"/>
      <c r="AM432" s="23"/>
      <c r="AN432" s="23"/>
      <c r="AO432" s="24"/>
      <c r="AQ432" s="35"/>
      <c r="AR432" s="35"/>
      <c r="AS432" s="35"/>
      <c r="AT432" s="35"/>
      <c r="AU432" s="35"/>
      <c r="AV432" s="35"/>
      <c r="AW432" s="35"/>
      <c r="AX432" s="35"/>
      <c r="AY432" s="35"/>
      <c r="BA432" s="35"/>
      <c r="BC432" s="56"/>
      <c r="BD432" s="55"/>
      <c r="BF432" s="89"/>
    </row>
    <row r="433" spans="1:58" s="25" customFormat="1" x14ac:dyDescent="0.3">
      <c r="A433" s="19"/>
      <c r="B433" s="19"/>
      <c r="C433" s="50"/>
      <c r="D433" s="50"/>
      <c r="E433" s="50"/>
      <c r="F433" s="51"/>
      <c r="G433" s="57"/>
      <c r="H433" s="51"/>
      <c r="I433" s="52"/>
      <c r="J433" s="20"/>
      <c r="K433" s="21"/>
      <c r="L433" s="21"/>
      <c r="M433" s="46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59"/>
      <c r="AM433" s="23"/>
      <c r="AN433" s="23"/>
      <c r="AO433" s="24"/>
      <c r="AQ433" s="35"/>
      <c r="AR433" s="35"/>
      <c r="AS433" s="35"/>
      <c r="AT433" s="35"/>
      <c r="AU433" s="35"/>
      <c r="AV433" s="35"/>
      <c r="AW433" s="35"/>
      <c r="AX433" s="35"/>
      <c r="AY433" s="35"/>
      <c r="BA433" s="35"/>
      <c r="BC433" s="56"/>
      <c r="BD433" s="55"/>
      <c r="BF433" s="89"/>
    </row>
    <row r="434" spans="1:58" s="25" customFormat="1" x14ac:dyDescent="0.3">
      <c r="A434" s="19"/>
      <c r="B434" s="19"/>
      <c r="C434" s="50"/>
      <c r="D434" s="50"/>
      <c r="E434" s="50"/>
      <c r="F434" s="51"/>
      <c r="G434" s="57"/>
      <c r="H434" s="51"/>
      <c r="I434" s="52"/>
      <c r="J434" s="20"/>
      <c r="K434" s="21"/>
      <c r="L434" s="21"/>
      <c r="M434" s="46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59"/>
      <c r="AM434" s="23"/>
      <c r="AN434" s="23"/>
      <c r="AO434" s="24"/>
      <c r="AQ434" s="35"/>
      <c r="AR434" s="35"/>
      <c r="AS434" s="35"/>
      <c r="AT434" s="35"/>
      <c r="AU434" s="35"/>
      <c r="AV434" s="35"/>
      <c r="AW434" s="35"/>
      <c r="AX434" s="35"/>
      <c r="AY434" s="35"/>
      <c r="BA434" s="35"/>
      <c r="BC434" s="56"/>
      <c r="BD434" s="55"/>
      <c r="BF434" s="89"/>
    </row>
    <row r="435" spans="1:58" s="25" customFormat="1" x14ac:dyDescent="0.3">
      <c r="A435" s="19"/>
      <c r="B435" s="19"/>
      <c r="C435" s="50"/>
      <c r="D435" s="50"/>
      <c r="E435" s="50"/>
      <c r="F435" s="51"/>
      <c r="G435" s="57"/>
      <c r="H435" s="51"/>
      <c r="I435" s="52"/>
      <c r="J435" s="20"/>
      <c r="K435" s="21"/>
      <c r="L435" s="21"/>
      <c r="M435" s="46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59"/>
      <c r="AM435" s="23"/>
      <c r="AN435" s="23"/>
      <c r="AO435" s="24"/>
      <c r="AQ435" s="35"/>
      <c r="AR435" s="35"/>
      <c r="AS435" s="35"/>
      <c r="AT435" s="35"/>
      <c r="AU435" s="35"/>
      <c r="AV435" s="35"/>
      <c r="AW435" s="35"/>
      <c r="AX435" s="35"/>
      <c r="AY435" s="35"/>
      <c r="BA435" s="35"/>
      <c r="BC435" s="56"/>
      <c r="BD435" s="55"/>
      <c r="BF435" s="89"/>
    </row>
    <row r="436" spans="1:58" s="25" customFormat="1" x14ac:dyDescent="0.3">
      <c r="A436" s="19"/>
      <c r="B436" s="19"/>
      <c r="C436" s="50"/>
      <c r="D436" s="50"/>
      <c r="E436" s="50"/>
      <c r="F436" s="51"/>
      <c r="G436" s="57"/>
      <c r="H436" s="51"/>
      <c r="I436" s="52"/>
      <c r="J436" s="20"/>
      <c r="K436" s="21"/>
      <c r="L436" s="21"/>
      <c r="M436" s="46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59"/>
      <c r="AM436" s="23"/>
      <c r="AN436" s="23"/>
      <c r="AO436" s="24"/>
      <c r="AQ436" s="35"/>
      <c r="AR436" s="35"/>
      <c r="AS436" s="35"/>
      <c r="AT436" s="35"/>
      <c r="AU436" s="35"/>
      <c r="AV436" s="35"/>
      <c r="AW436" s="35"/>
      <c r="AX436" s="35"/>
      <c r="AY436" s="35"/>
      <c r="BA436" s="35"/>
      <c r="BC436" s="56"/>
      <c r="BD436" s="55"/>
      <c r="BF436" s="89"/>
    </row>
    <row r="437" spans="1:58" s="25" customFormat="1" x14ac:dyDescent="0.3">
      <c r="A437" s="19"/>
      <c r="B437" s="19"/>
      <c r="C437" s="50"/>
      <c r="D437" s="50"/>
      <c r="E437" s="50"/>
      <c r="F437" s="51"/>
      <c r="G437" s="57"/>
      <c r="H437" s="51"/>
      <c r="I437" s="52"/>
      <c r="J437" s="20"/>
      <c r="K437" s="21"/>
      <c r="L437" s="21"/>
      <c r="M437" s="46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59"/>
      <c r="AM437" s="23"/>
      <c r="AN437" s="23"/>
      <c r="AO437" s="24"/>
      <c r="AQ437" s="35"/>
      <c r="AR437" s="35"/>
      <c r="AS437" s="35"/>
      <c r="AT437" s="35"/>
      <c r="AU437" s="35"/>
      <c r="AV437" s="35"/>
      <c r="AW437" s="35"/>
      <c r="AX437" s="35"/>
      <c r="AY437" s="35"/>
      <c r="BA437" s="35"/>
      <c r="BC437" s="56"/>
      <c r="BD437" s="55"/>
      <c r="BF437" s="89"/>
    </row>
    <row r="438" spans="1:58" s="25" customFormat="1" x14ac:dyDescent="0.3">
      <c r="A438" s="19"/>
      <c r="B438" s="19"/>
      <c r="C438" s="50"/>
      <c r="D438" s="50"/>
      <c r="E438" s="50"/>
      <c r="F438" s="51"/>
      <c r="G438" s="57"/>
      <c r="H438" s="51"/>
      <c r="I438" s="52"/>
      <c r="J438" s="20"/>
      <c r="K438" s="21"/>
      <c r="L438" s="21"/>
      <c r="M438" s="46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59"/>
      <c r="AM438" s="23"/>
      <c r="AN438" s="23"/>
      <c r="AO438" s="24"/>
      <c r="AQ438" s="35"/>
      <c r="AR438" s="35"/>
      <c r="AS438" s="35"/>
      <c r="AT438" s="35"/>
      <c r="AU438" s="35"/>
      <c r="AV438" s="35"/>
      <c r="AW438" s="35"/>
      <c r="AX438" s="35"/>
      <c r="AY438" s="35"/>
      <c r="BA438" s="35"/>
      <c r="BC438" s="56"/>
      <c r="BD438" s="55"/>
      <c r="BF438" s="89"/>
    </row>
    <row r="439" spans="1:58" s="25" customFormat="1" x14ac:dyDescent="0.3">
      <c r="A439" s="19"/>
      <c r="B439" s="19"/>
      <c r="C439" s="50"/>
      <c r="D439" s="50"/>
      <c r="E439" s="50"/>
      <c r="F439" s="51"/>
      <c r="G439" s="57"/>
      <c r="H439" s="51"/>
      <c r="I439" s="52"/>
      <c r="J439" s="20"/>
      <c r="K439" s="21"/>
      <c r="L439" s="21"/>
      <c r="M439" s="46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59"/>
      <c r="AM439" s="23"/>
      <c r="AN439" s="23"/>
      <c r="AO439" s="24"/>
      <c r="AQ439" s="35"/>
      <c r="AR439" s="35"/>
      <c r="AS439" s="35"/>
      <c r="AT439" s="35"/>
      <c r="AU439" s="35"/>
      <c r="AV439" s="35"/>
      <c r="AW439" s="35"/>
      <c r="AX439" s="35"/>
      <c r="AY439" s="35"/>
      <c r="BA439" s="35"/>
      <c r="BC439" s="56"/>
      <c r="BD439" s="55"/>
      <c r="BF439" s="89"/>
    </row>
    <row r="440" spans="1:58" s="25" customFormat="1" x14ac:dyDescent="0.3">
      <c r="A440" s="19"/>
      <c r="B440" s="19"/>
      <c r="C440" s="50"/>
      <c r="D440" s="50"/>
      <c r="E440" s="50"/>
      <c r="F440" s="51"/>
      <c r="G440" s="57"/>
      <c r="H440" s="51"/>
      <c r="I440" s="52"/>
      <c r="J440" s="20"/>
      <c r="K440" s="21"/>
      <c r="L440" s="21"/>
      <c r="M440" s="46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59"/>
      <c r="AM440" s="23"/>
      <c r="AN440" s="23"/>
      <c r="AO440" s="24"/>
      <c r="AQ440" s="35"/>
      <c r="AR440" s="35"/>
      <c r="AS440" s="35"/>
      <c r="AT440" s="35"/>
      <c r="AU440" s="35"/>
      <c r="AV440" s="35"/>
      <c r="AW440" s="35"/>
      <c r="AX440" s="35"/>
      <c r="AY440" s="35"/>
      <c r="BA440" s="35"/>
      <c r="BC440" s="56"/>
      <c r="BD440" s="55"/>
      <c r="BF440" s="89"/>
    </row>
    <row r="441" spans="1:58" s="25" customFormat="1" x14ac:dyDescent="0.3">
      <c r="A441" s="19"/>
      <c r="B441" s="19"/>
      <c r="C441" s="50"/>
      <c r="D441" s="50"/>
      <c r="E441" s="50"/>
      <c r="F441" s="51"/>
      <c r="G441" s="57"/>
      <c r="H441" s="51"/>
      <c r="I441" s="52"/>
      <c r="J441" s="20"/>
      <c r="K441" s="21"/>
      <c r="L441" s="21"/>
      <c r="M441" s="46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59"/>
      <c r="AM441" s="23"/>
      <c r="AN441" s="23"/>
      <c r="AO441" s="24"/>
      <c r="AQ441" s="35"/>
      <c r="AR441" s="35"/>
      <c r="AS441" s="35"/>
      <c r="AT441" s="35"/>
      <c r="AU441" s="35"/>
      <c r="AV441" s="35"/>
      <c r="AW441" s="35"/>
      <c r="AX441" s="35"/>
      <c r="AY441" s="35"/>
      <c r="BA441" s="35"/>
      <c r="BC441" s="56"/>
      <c r="BD441" s="55"/>
      <c r="BF441" s="89"/>
    </row>
    <row r="442" spans="1:58" s="25" customFormat="1" x14ac:dyDescent="0.3">
      <c r="A442" s="19"/>
      <c r="B442" s="19"/>
      <c r="C442" s="50"/>
      <c r="D442" s="50"/>
      <c r="E442" s="50"/>
      <c r="F442" s="51"/>
      <c r="G442" s="57"/>
      <c r="H442" s="51"/>
      <c r="I442" s="52"/>
      <c r="J442" s="20"/>
      <c r="K442" s="21"/>
      <c r="L442" s="21"/>
      <c r="M442" s="46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59"/>
      <c r="AM442" s="23"/>
      <c r="AN442" s="23"/>
      <c r="AO442" s="24"/>
      <c r="AQ442" s="35"/>
      <c r="AR442" s="35"/>
      <c r="AS442" s="35"/>
      <c r="AT442" s="35"/>
      <c r="AU442" s="35"/>
      <c r="AV442" s="35"/>
      <c r="AW442" s="35"/>
      <c r="AX442" s="35"/>
      <c r="AY442" s="35"/>
      <c r="BA442" s="35"/>
      <c r="BC442" s="56"/>
      <c r="BD442" s="55"/>
      <c r="BF442" s="89"/>
    </row>
    <row r="443" spans="1:58" s="25" customFormat="1" x14ac:dyDescent="0.3">
      <c r="A443" s="19"/>
      <c r="B443" s="19"/>
      <c r="C443" s="50"/>
      <c r="D443" s="50"/>
      <c r="E443" s="50"/>
      <c r="F443" s="51"/>
      <c r="G443" s="57"/>
      <c r="H443" s="51"/>
      <c r="I443" s="52"/>
      <c r="J443" s="20"/>
      <c r="K443" s="21"/>
      <c r="L443" s="21"/>
      <c r="M443" s="46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59"/>
      <c r="AM443" s="23"/>
      <c r="AN443" s="23"/>
      <c r="AO443" s="24"/>
      <c r="AQ443" s="35"/>
      <c r="AR443" s="35"/>
      <c r="AS443" s="35"/>
      <c r="AT443" s="35"/>
      <c r="AU443" s="35"/>
      <c r="AV443" s="35"/>
      <c r="AW443" s="35"/>
      <c r="AX443" s="35"/>
      <c r="AY443" s="35"/>
      <c r="BA443" s="35"/>
      <c r="BC443" s="56"/>
      <c r="BD443" s="55"/>
      <c r="BF443" s="89"/>
    </row>
    <row r="444" spans="1:58" s="25" customFormat="1" x14ac:dyDescent="0.3">
      <c r="A444" s="19"/>
      <c r="B444" s="19"/>
      <c r="C444" s="50"/>
      <c r="D444" s="50"/>
      <c r="E444" s="50"/>
      <c r="F444" s="51"/>
      <c r="G444" s="57"/>
      <c r="H444" s="51"/>
      <c r="I444" s="52"/>
      <c r="J444" s="20"/>
      <c r="K444" s="21"/>
      <c r="L444" s="21"/>
      <c r="M444" s="46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59"/>
      <c r="AM444" s="23"/>
      <c r="AN444" s="23"/>
      <c r="AO444" s="24"/>
      <c r="AQ444" s="35"/>
      <c r="AR444" s="35"/>
      <c r="AS444" s="35"/>
      <c r="AT444" s="35"/>
      <c r="AU444" s="35"/>
      <c r="AV444" s="35"/>
      <c r="AW444" s="35"/>
      <c r="AX444" s="35"/>
      <c r="AY444" s="35"/>
      <c r="BA444" s="35"/>
      <c r="BC444" s="56"/>
      <c r="BD444" s="55"/>
      <c r="BF444" s="89"/>
    </row>
    <row r="445" spans="1:58" s="25" customFormat="1" x14ac:dyDescent="0.3">
      <c r="A445" s="19"/>
      <c r="B445" s="19"/>
      <c r="C445" s="50"/>
      <c r="D445" s="50"/>
      <c r="E445" s="50"/>
      <c r="F445" s="51"/>
      <c r="G445" s="57"/>
      <c r="H445" s="51"/>
      <c r="I445" s="52"/>
      <c r="J445" s="20"/>
      <c r="K445" s="21"/>
      <c r="L445" s="21"/>
      <c r="M445" s="46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59"/>
      <c r="AM445" s="23"/>
      <c r="AN445" s="23"/>
      <c r="AO445" s="24"/>
      <c r="AQ445" s="35"/>
      <c r="AR445" s="35"/>
      <c r="AS445" s="35"/>
      <c r="AT445" s="35"/>
      <c r="AU445" s="35"/>
      <c r="AV445" s="35"/>
      <c r="AW445" s="35"/>
      <c r="AX445" s="35"/>
      <c r="AY445" s="35"/>
      <c r="BA445" s="35"/>
      <c r="BC445" s="56"/>
      <c r="BD445" s="55"/>
      <c r="BF445" s="89"/>
    </row>
    <row r="446" spans="1:58" s="25" customFormat="1" x14ac:dyDescent="0.3">
      <c r="A446" s="19"/>
      <c r="B446" s="19"/>
      <c r="C446" s="50"/>
      <c r="D446" s="50"/>
      <c r="E446" s="50"/>
      <c r="F446" s="51"/>
      <c r="G446" s="57"/>
      <c r="H446" s="51"/>
      <c r="I446" s="52"/>
      <c r="J446" s="20"/>
      <c r="K446" s="21"/>
      <c r="L446" s="21"/>
      <c r="M446" s="46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59"/>
      <c r="AM446" s="23"/>
      <c r="AN446" s="23"/>
      <c r="AO446" s="24"/>
      <c r="AQ446" s="35"/>
      <c r="AR446" s="35"/>
      <c r="AS446" s="35"/>
      <c r="AT446" s="35"/>
      <c r="AU446" s="35"/>
      <c r="AV446" s="35"/>
      <c r="AW446" s="35"/>
      <c r="AX446" s="35"/>
      <c r="AY446" s="35"/>
      <c r="BA446" s="35"/>
      <c r="BC446" s="56"/>
      <c r="BD446" s="55"/>
      <c r="BF446" s="89"/>
    </row>
    <row r="447" spans="1:58" s="25" customFormat="1" x14ac:dyDescent="0.3">
      <c r="A447" s="19"/>
      <c r="B447" s="19"/>
      <c r="C447" s="50"/>
      <c r="D447" s="50"/>
      <c r="E447" s="50"/>
      <c r="F447" s="51"/>
      <c r="G447" s="57"/>
      <c r="H447" s="51"/>
      <c r="I447" s="52"/>
      <c r="J447" s="20"/>
      <c r="K447" s="21"/>
      <c r="L447" s="21"/>
      <c r="M447" s="46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59"/>
      <c r="AM447" s="23"/>
      <c r="AN447" s="23"/>
      <c r="AO447" s="24"/>
      <c r="AQ447" s="35"/>
      <c r="AR447" s="35"/>
      <c r="AS447" s="35"/>
      <c r="AT447" s="35"/>
      <c r="AU447" s="35"/>
      <c r="AV447" s="35"/>
      <c r="AW447" s="35"/>
      <c r="AX447" s="35"/>
      <c r="AY447" s="35"/>
      <c r="BA447" s="35"/>
      <c r="BC447" s="56"/>
      <c r="BD447" s="55"/>
      <c r="BF447" s="89"/>
    </row>
    <row r="448" spans="1:58" s="25" customFormat="1" x14ac:dyDescent="0.3">
      <c r="A448" s="19"/>
      <c r="B448" s="19"/>
      <c r="C448" s="50"/>
      <c r="D448" s="50"/>
      <c r="E448" s="50"/>
      <c r="F448" s="51"/>
      <c r="G448" s="57"/>
      <c r="H448" s="51"/>
      <c r="I448" s="52"/>
      <c r="J448" s="20"/>
      <c r="K448" s="21"/>
      <c r="L448" s="21"/>
      <c r="M448" s="46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59"/>
      <c r="AM448" s="23"/>
      <c r="AN448" s="23"/>
      <c r="AO448" s="24"/>
      <c r="AQ448" s="35"/>
      <c r="AR448" s="35"/>
      <c r="AS448" s="35"/>
      <c r="AT448" s="35"/>
      <c r="AU448" s="35"/>
      <c r="AV448" s="35"/>
      <c r="AW448" s="35"/>
      <c r="AX448" s="35"/>
      <c r="AY448" s="35"/>
      <c r="BA448" s="35"/>
      <c r="BC448" s="56"/>
      <c r="BD448" s="55"/>
      <c r="BF448" s="89"/>
    </row>
    <row r="449" spans="1:58" s="25" customFormat="1" x14ac:dyDescent="0.3">
      <c r="A449" s="19"/>
      <c r="B449" s="19"/>
      <c r="C449" s="50"/>
      <c r="D449" s="50"/>
      <c r="E449" s="50"/>
      <c r="F449" s="51"/>
      <c r="G449" s="57"/>
      <c r="H449" s="51"/>
      <c r="I449" s="52"/>
      <c r="J449" s="20"/>
      <c r="K449" s="21"/>
      <c r="L449" s="21"/>
      <c r="M449" s="46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59"/>
      <c r="AM449" s="23"/>
      <c r="AN449" s="23"/>
      <c r="AO449" s="24"/>
      <c r="AQ449" s="35"/>
      <c r="AR449" s="35"/>
      <c r="AS449" s="35"/>
      <c r="AT449" s="35"/>
      <c r="AU449" s="35"/>
      <c r="AV449" s="35"/>
      <c r="AW449" s="35"/>
      <c r="AX449" s="35"/>
      <c r="AY449" s="35"/>
      <c r="BA449" s="35"/>
      <c r="BC449" s="56"/>
      <c r="BD449" s="55"/>
      <c r="BF449" s="89"/>
    </row>
    <row r="450" spans="1:58" s="25" customFormat="1" x14ac:dyDescent="0.3">
      <c r="A450" s="19"/>
      <c r="B450" s="19"/>
      <c r="C450" s="50"/>
      <c r="D450" s="50"/>
      <c r="E450" s="50"/>
      <c r="F450" s="51"/>
      <c r="G450" s="57"/>
      <c r="H450" s="51"/>
      <c r="I450" s="52"/>
      <c r="J450" s="20"/>
      <c r="K450" s="21"/>
      <c r="L450" s="21"/>
      <c r="M450" s="46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59"/>
      <c r="AM450" s="23"/>
      <c r="AN450" s="23"/>
      <c r="AO450" s="24"/>
      <c r="AQ450" s="35"/>
      <c r="AR450" s="35"/>
      <c r="AS450" s="35"/>
      <c r="AT450" s="35"/>
      <c r="AU450" s="35"/>
      <c r="AV450" s="35"/>
      <c r="AW450" s="35"/>
      <c r="AX450" s="35"/>
      <c r="AY450" s="35"/>
      <c r="BA450" s="35"/>
      <c r="BC450" s="56"/>
      <c r="BD450" s="55"/>
      <c r="BF450" s="89"/>
    </row>
    <row r="451" spans="1:58" s="25" customFormat="1" x14ac:dyDescent="0.3">
      <c r="A451" s="19"/>
      <c r="B451" s="19"/>
      <c r="C451" s="50"/>
      <c r="D451" s="50"/>
      <c r="E451" s="50"/>
      <c r="F451" s="51"/>
      <c r="G451" s="57"/>
      <c r="H451" s="51"/>
      <c r="I451" s="52"/>
      <c r="J451" s="20"/>
      <c r="K451" s="21"/>
      <c r="L451" s="21"/>
      <c r="M451" s="46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59"/>
      <c r="AM451" s="23"/>
      <c r="AN451" s="23"/>
      <c r="AO451" s="24"/>
      <c r="AQ451" s="35"/>
      <c r="AR451" s="35"/>
      <c r="AS451" s="35"/>
      <c r="AT451" s="35"/>
      <c r="AU451" s="35"/>
      <c r="AV451" s="35"/>
      <c r="AW451" s="35"/>
      <c r="AX451" s="35"/>
      <c r="AY451" s="35"/>
      <c r="BA451" s="35"/>
      <c r="BC451" s="56"/>
      <c r="BD451" s="55"/>
      <c r="BF451" s="89"/>
    </row>
    <row r="452" spans="1:58" s="25" customFormat="1" x14ac:dyDescent="0.3">
      <c r="A452" s="19"/>
      <c r="B452" s="19"/>
      <c r="C452" s="50"/>
      <c r="D452" s="50"/>
      <c r="E452" s="50"/>
      <c r="F452" s="51"/>
      <c r="G452" s="57"/>
      <c r="H452" s="51"/>
      <c r="I452" s="52"/>
      <c r="J452" s="20"/>
      <c r="K452" s="21"/>
      <c r="L452" s="21"/>
      <c r="M452" s="46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59"/>
      <c r="AM452" s="23"/>
      <c r="AN452" s="23"/>
      <c r="AO452" s="24"/>
      <c r="AQ452" s="35"/>
      <c r="AR452" s="35"/>
      <c r="AS452" s="35"/>
      <c r="AT452" s="35"/>
      <c r="AU452" s="35"/>
      <c r="AV452" s="35"/>
      <c r="AW452" s="35"/>
      <c r="AX452" s="35"/>
      <c r="AY452" s="35"/>
      <c r="BA452" s="35"/>
      <c r="BC452" s="56"/>
      <c r="BD452" s="55"/>
      <c r="BF452" s="89"/>
    </row>
    <row r="453" spans="1:58" s="25" customFormat="1" x14ac:dyDescent="0.3">
      <c r="A453" s="19"/>
      <c r="B453" s="19"/>
      <c r="C453" s="50"/>
      <c r="D453" s="50"/>
      <c r="E453" s="50"/>
      <c r="F453" s="51"/>
      <c r="G453" s="57"/>
      <c r="H453" s="51"/>
      <c r="I453" s="52"/>
      <c r="J453" s="20"/>
      <c r="K453" s="21"/>
      <c r="L453" s="21"/>
      <c r="M453" s="46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59"/>
      <c r="AM453" s="23"/>
      <c r="AN453" s="23"/>
      <c r="AO453" s="24"/>
      <c r="AQ453" s="35"/>
      <c r="AR453" s="35"/>
      <c r="AS453" s="65"/>
      <c r="AT453" s="35"/>
      <c r="AU453" s="35"/>
      <c r="AV453" s="35"/>
      <c r="AW453" s="35"/>
      <c r="AX453" s="35"/>
      <c r="AY453" s="35"/>
      <c r="BA453" s="35"/>
      <c r="BC453" s="56"/>
      <c r="BD453" s="55"/>
      <c r="BF453" s="89"/>
    </row>
    <row r="454" spans="1:58" s="25" customFormat="1" x14ac:dyDescent="0.3">
      <c r="A454" s="19"/>
      <c r="B454" s="19"/>
      <c r="C454" s="50"/>
      <c r="D454" s="50"/>
      <c r="E454" s="50"/>
      <c r="F454" s="51"/>
      <c r="G454" s="57"/>
      <c r="H454" s="51"/>
      <c r="I454" s="52"/>
      <c r="J454" s="20"/>
      <c r="K454" s="21"/>
      <c r="L454" s="21"/>
      <c r="M454" s="46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59"/>
      <c r="AM454" s="23"/>
      <c r="AN454" s="23"/>
      <c r="AO454" s="24"/>
      <c r="AQ454" s="35"/>
      <c r="AR454" s="35"/>
      <c r="AS454" s="65"/>
      <c r="AT454" s="35"/>
      <c r="AU454" s="35"/>
      <c r="AV454" s="35"/>
      <c r="AW454" s="35"/>
      <c r="AX454" s="35"/>
      <c r="AY454" s="35"/>
      <c r="BA454" s="35"/>
      <c r="BC454" s="56"/>
      <c r="BD454" s="55"/>
      <c r="BF454" s="89"/>
    </row>
    <row r="455" spans="1:58" s="25" customFormat="1" x14ac:dyDescent="0.3">
      <c r="A455" s="19"/>
      <c r="B455" s="19"/>
      <c r="C455" s="50"/>
      <c r="D455" s="50"/>
      <c r="E455" s="50"/>
      <c r="F455" s="51"/>
      <c r="G455" s="57"/>
      <c r="H455" s="51"/>
      <c r="I455" s="52"/>
      <c r="J455" s="20"/>
      <c r="K455" s="21"/>
      <c r="L455" s="21"/>
      <c r="M455" s="46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59"/>
      <c r="AM455" s="23"/>
      <c r="AN455" s="23"/>
      <c r="AO455" s="24"/>
      <c r="AQ455" s="35"/>
      <c r="AR455" s="35"/>
      <c r="AS455" s="35"/>
      <c r="AT455" s="35"/>
      <c r="AU455" s="35"/>
      <c r="AV455" s="35"/>
      <c r="AW455" s="35"/>
      <c r="AX455" s="35"/>
      <c r="AY455" s="35"/>
      <c r="BA455" s="35"/>
      <c r="BC455" s="56"/>
      <c r="BD455" s="55"/>
      <c r="BF455" s="89"/>
    </row>
    <row r="456" spans="1:58" s="25" customFormat="1" x14ac:dyDescent="0.3">
      <c r="A456" s="19"/>
      <c r="B456" s="19"/>
      <c r="C456" s="50"/>
      <c r="D456" s="50"/>
      <c r="E456" s="50"/>
      <c r="F456" s="51"/>
      <c r="G456" s="57"/>
      <c r="H456" s="51"/>
      <c r="I456" s="52"/>
      <c r="J456" s="20"/>
      <c r="K456" s="21"/>
      <c r="L456" s="21"/>
      <c r="M456" s="46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59"/>
      <c r="AM456" s="23"/>
      <c r="AN456" s="23"/>
      <c r="AO456" s="24"/>
      <c r="AQ456" s="35"/>
      <c r="AR456" s="35"/>
      <c r="AS456" s="35"/>
      <c r="AT456" s="35"/>
      <c r="AU456" s="35"/>
      <c r="AV456" s="35"/>
      <c r="AW456" s="35"/>
      <c r="AX456" s="35"/>
      <c r="AY456" s="35"/>
      <c r="BA456" s="35"/>
      <c r="BC456" s="56"/>
      <c r="BD456" s="55"/>
      <c r="BF456" s="89"/>
    </row>
    <row r="457" spans="1:58" s="25" customFormat="1" x14ac:dyDescent="0.3">
      <c r="A457" s="19"/>
      <c r="B457" s="19"/>
      <c r="C457" s="50"/>
      <c r="D457" s="50"/>
      <c r="E457" s="50"/>
      <c r="F457" s="51"/>
      <c r="G457" s="57"/>
      <c r="H457" s="51"/>
      <c r="I457" s="52"/>
      <c r="J457" s="20"/>
      <c r="K457" s="21"/>
      <c r="L457" s="21"/>
      <c r="M457" s="46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59"/>
      <c r="AM457" s="23"/>
      <c r="AN457" s="23"/>
      <c r="AO457" s="24"/>
      <c r="AQ457" s="35"/>
      <c r="AR457" s="35"/>
      <c r="AS457" s="35"/>
      <c r="AT457" s="35"/>
      <c r="AU457" s="35"/>
      <c r="AV457" s="35"/>
      <c r="AW457" s="35"/>
      <c r="AX457" s="35"/>
      <c r="AY457" s="35"/>
      <c r="BA457" s="35"/>
      <c r="BC457" s="56"/>
      <c r="BD457" s="55"/>
      <c r="BF457" s="89"/>
    </row>
    <row r="458" spans="1:58" s="25" customFormat="1" x14ac:dyDescent="0.3">
      <c r="A458" s="19"/>
      <c r="B458" s="19"/>
      <c r="C458" s="50"/>
      <c r="D458" s="50"/>
      <c r="E458" s="50"/>
      <c r="F458" s="51"/>
      <c r="G458" s="57"/>
      <c r="H458" s="51"/>
      <c r="I458" s="52"/>
      <c r="J458" s="20"/>
      <c r="K458" s="21"/>
      <c r="L458" s="21"/>
      <c r="M458" s="46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59"/>
      <c r="AM458" s="23"/>
      <c r="AN458" s="23"/>
      <c r="AO458" s="24"/>
      <c r="AQ458" s="35"/>
      <c r="AR458" s="35"/>
      <c r="AS458" s="35"/>
      <c r="AT458" s="35"/>
      <c r="AU458" s="35"/>
      <c r="AV458" s="35"/>
      <c r="AW458" s="35"/>
      <c r="AX458" s="35"/>
      <c r="AY458" s="35"/>
      <c r="BA458" s="35"/>
      <c r="BC458" s="56"/>
      <c r="BD458" s="55"/>
      <c r="BF458" s="89"/>
    </row>
    <row r="459" spans="1:58" s="25" customFormat="1" x14ac:dyDescent="0.3">
      <c r="A459" s="19"/>
      <c r="B459" s="19"/>
      <c r="C459" s="50"/>
      <c r="D459" s="50"/>
      <c r="E459" s="50"/>
      <c r="F459" s="51"/>
      <c r="G459" s="57"/>
      <c r="H459" s="51"/>
      <c r="I459" s="52"/>
      <c r="J459" s="20"/>
      <c r="K459" s="21"/>
      <c r="L459" s="21"/>
      <c r="M459" s="46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59"/>
      <c r="AM459" s="23"/>
      <c r="AN459" s="23"/>
      <c r="AO459" s="24"/>
      <c r="AQ459" s="35"/>
      <c r="AR459" s="35"/>
      <c r="AS459" s="35"/>
      <c r="AT459" s="35"/>
      <c r="AU459" s="35"/>
      <c r="AV459" s="35"/>
      <c r="AW459" s="35"/>
      <c r="AX459" s="35"/>
      <c r="AY459" s="35"/>
      <c r="BA459" s="35"/>
      <c r="BC459" s="56"/>
      <c r="BD459" s="55"/>
      <c r="BF459" s="89"/>
    </row>
    <row r="460" spans="1:58" s="25" customFormat="1" x14ac:dyDescent="0.3">
      <c r="A460" s="19"/>
      <c r="B460" s="19"/>
      <c r="C460" s="50"/>
      <c r="D460" s="50"/>
      <c r="E460" s="50"/>
      <c r="F460" s="51"/>
      <c r="G460" s="57"/>
      <c r="H460" s="51"/>
      <c r="I460" s="52"/>
      <c r="J460" s="20"/>
      <c r="K460" s="21"/>
      <c r="L460" s="21"/>
      <c r="M460" s="46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59"/>
      <c r="AM460" s="23"/>
      <c r="AN460" s="23"/>
      <c r="AO460" s="24"/>
      <c r="AQ460" s="35"/>
      <c r="AR460" s="35"/>
      <c r="AS460" s="35"/>
      <c r="AT460" s="35"/>
      <c r="AU460" s="35"/>
      <c r="AV460" s="35"/>
      <c r="AW460" s="35"/>
      <c r="AX460" s="35"/>
      <c r="AY460" s="35"/>
      <c r="BA460" s="35"/>
      <c r="BC460" s="56"/>
      <c r="BD460" s="55"/>
      <c r="BF460" s="89"/>
    </row>
    <row r="461" spans="1:58" s="25" customFormat="1" x14ac:dyDescent="0.3">
      <c r="A461" s="19"/>
      <c r="B461" s="19"/>
      <c r="C461" s="50"/>
      <c r="D461" s="50"/>
      <c r="E461" s="50"/>
      <c r="F461" s="51"/>
      <c r="G461" s="57"/>
      <c r="H461" s="51"/>
      <c r="I461" s="52"/>
      <c r="J461" s="20"/>
      <c r="K461" s="21"/>
      <c r="L461" s="21"/>
      <c r="M461" s="46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59"/>
      <c r="AM461" s="23"/>
      <c r="AN461" s="23"/>
      <c r="AO461" s="24"/>
      <c r="AQ461" s="35"/>
      <c r="AR461" s="35"/>
      <c r="AS461" s="35"/>
      <c r="AT461" s="35"/>
      <c r="AU461" s="35"/>
      <c r="AV461" s="35"/>
      <c r="AW461" s="35"/>
      <c r="AX461" s="35"/>
      <c r="AY461" s="35"/>
      <c r="BA461" s="35"/>
      <c r="BC461" s="56"/>
      <c r="BD461" s="55"/>
      <c r="BF461" s="89"/>
    </row>
    <row r="462" spans="1:58" s="25" customFormat="1" x14ac:dyDescent="0.3">
      <c r="A462" s="19"/>
      <c r="B462" s="19"/>
      <c r="C462" s="50"/>
      <c r="D462" s="50"/>
      <c r="E462" s="50"/>
      <c r="F462" s="51"/>
      <c r="G462" s="57"/>
      <c r="H462" s="51"/>
      <c r="I462" s="52"/>
      <c r="J462" s="20"/>
      <c r="K462" s="21"/>
      <c r="L462" s="21"/>
      <c r="M462" s="46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59"/>
      <c r="AM462" s="23"/>
      <c r="AN462" s="23"/>
      <c r="AO462" s="24"/>
      <c r="AQ462" s="35"/>
      <c r="AR462" s="35"/>
      <c r="AS462" s="35"/>
      <c r="AT462" s="35"/>
      <c r="AU462" s="35"/>
      <c r="AV462" s="35"/>
      <c r="AW462" s="35"/>
      <c r="AX462" s="35"/>
      <c r="AY462" s="35"/>
      <c r="BA462" s="35"/>
      <c r="BC462" s="56"/>
      <c r="BD462" s="55"/>
      <c r="BF462" s="89"/>
    </row>
    <row r="463" spans="1:58" s="25" customFormat="1" x14ac:dyDescent="0.3">
      <c r="A463" s="19"/>
      <c r="B463" s="19"/>
      <c r="C463" s="50"/>
      <c r="D463" s="50"/>
      <c r="E463" s="50"/>
      <c r="F463" s="51"/>
      <c r="G463" s="57"/>
      <c r="H463" s="51"/>
      <c r="I463" s="52"/>
      <c r="J463" s="20"/>
      <c r="K463" s="21"/>
      <c r="L463" s="21"/>
      <c r="M463" s="46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59"/>
      <c r="AM463" s="23"/>
      <c r="AN463" s="23"/>
      <c r="AO463" s="24"/>
      <c r="AQ463" s="35"/>
      <c r="AR463" s="35"/>
      <c r="AS463" s="35"/>
      <c r="AT463" s="35"/>
      <c r="AU463" s="35"/>
      <c r="AV463" s="35"/>
      <c r="AW463" s="35"/>
      <c r="AX463" s="35"/>
      <c r="AY463" s="35"/>
      <c r="BA463" s="35"/>
      <c r="BC463" s="56"/>
      <c r="BD463" s="55"/>
      <c r="BF463" s="89"/>
    </row>
    <row r="464" spans="1:58" s="25" customFormat="1" x14ac:dyDescent="0.3">
      <c r="A464" s="19"/>
      <c r="B464" s="19"/>
      <c r="C464" s="50"/>
      <c r="D464" s="50"/>
      <c r="E464" s="50"/>
      <c r="F464" s="51"/>
      <c r="G464" s="57"/>
      <c r="H464" s="51"/>
      <c r="I464" s="52"/>
      <c r="J464" s="20"/>
      <c r="K464" s="21"/>
      <c r="L464" s="21"/>
      <c r="M464" s="46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59"/>
      <c r="AM464" s="23"/>
      <c r="AN464" s="23"/>
      <c r="AO464" s="24"/>
      <c r="AQ464" s="35"/>
      <c r="AR464" s="35"/>
      <c r="AS464" s="35"/>
      <c r="AT464" s="35"/>
      <c r="AU464" s="35"/>
      <c r="AV464" s="35"/>
      <c r="AW464" s="35"/>
      <c r="AX464" s="35"/>
      <c r="AY464" s="35"/>
      <c r="BA464" s="35"/>
      <c r="BC464" s="56"/>
      <c r="BD464" s="55"/>
      <c r="BF464" s="89"/>
    </row>
    <row r="465" spans="1:58" s="25" customFormat="1" x14ac:dyDescent="0.3">
      <c r="A465" s="19"/>
      <c r="B465" s="19"/>
      <c r="C465" s="50"/>
      <c r="D465" s="50"/>
      <c r="E465" s="50"/>
      <c r="F465" s="51"/>
      <c r="G465" s="57"/>
      <c r="H465" s="51"/>
      <c r="I465" s="52"/>
      <c r="J465" s="20"/>
      <c r="K465" s="21"/>
      <c r="L465" s="21"/>
      <c r="M465" s="46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59"/>
      <c r="AM465" s="23"/>
      <c r="AN465" s="23"/>
      <c r="AO465" s="24"/>
      <c r="AQ465" s="35"/>
      <c r="AR465" s="35"/>
      <c r="AS465" s="35"/>
      <c r="AT465" s="35"/>
      <c r="AU465" s="35"/>
      <c r="AV465" s="35"/>
      <c r="AW465" s="35"/>
      <c r="AX465" s="35"/>
      <c r="AY465" s="35"/>
      <c r="BA465" s="35"/>
      <c r="BC465" s="56"/>
      <c r="BD465" s="55"/>
      <c r="BF465" s="89"/>
    </row>
    <row r="466" spans="1:58" s="25" customFormat="1" x14ac:dyDescent="0.3">
      <c r="A466" s="19"/>
      <c r="B466" s="19"/>
      <c r="C466" s="50"/>
      <c r="D466" s="50"/>
      <c r="E466" s="50"/>
      <c r="F466" s="51"/>
      <c r="G466" s="57"/>
      <c r="H466" s="51"/>
      <c r="I466" s="52"/>
      <c r="J466" s="20"/>
      <c r="K466" s="21"/>
      <c r="L466" s="21"/>
      <c r="M466" s="46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59"/>
      <c r="AM466" s="23"/>
      <c r="AN466" s="23"/>
      <c r="AO466" s="24"/>
      <c r="AQ466" s="35"/>
      <c r="AR466" s="35"/>
      <c r="AS466" s="35"/>
      <c r="AT466" s="35"/>
      <c r="AU466" s="35"/>
      <c r="AV466" s="35"/>
      <c r="AW466" s="35"/>
      <c r="AX466" s="35"/>
      <c r="AY466" s="35"/>
      <c r="BA466" s="35"/>
      <c r="BC466" s="56"/>
      <c r="BD466" s="55"/>
      <c r="BF466" s="89"/>
    </row>
    <row r="467" spans="1:58" s="25" customFormat="1" x14ac:dyDescent="0.3">
      <c r="A467" s="19"/>
      <c r="B467" s="19"/>
      <c r="C467" s="50"/>
      <c r="D467" s="50"/>
      <c r="E467" s="50"/>
      <c r="F467" s="51"/>
      <c r="G467" s="57"/>
      <c r="H467" s="51"/>
      <c r="I467" s="52"/>
      <c r="J467" s="20"/>
      <c r="K467" s="21"/>
      <c r="L467" s="21"/>
      <c r="M467" s="46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59"/>
      <c r="AM467" s="23"/>
      <c r="AN467" s="23"/>
      <c r="AO467" s="24"/>
      <c r="AQ467" s="35"/>
      <c r="AR467" s="35"/>
      <c r="AS467" s="35"/>
      <c r="AT467" s="35"/>
      <c r="AU467" s="35"/>
      <c r="AV467" s="35"/>
      <c r="AW467" s="35"/>
      <c r="AX467" s="35"/>
      <c r="AY467" s="35"/>
      <c r="BA467" s="35"/>
      <c r="BC467" s="56"/>
      <c r="BD467" s="55"/>
      <c r="BF467" s="89"/>
    </row>
    <row r="468" spans="1:58" s="25" customFormat="1" x14ac:dyDescent="0.3">
      <c r="A468" s="19"/>
      <c r="B468" s="19"/>
      <c r="C468" s="50"/>
      <c r="D468" s="50"/>
      <c r="E468" s="50"/>
      <c r="F468" s="51"/>
      <c r="G468" s="57"/>
      <c r="H468" s="51"/>
      <c r="I468" s="52"/>
      <c r="J468" s="20"/>
      <c r="K468" s="21"/>
      <c r="L468" s="21"/>
      <c r="M468" s="46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59"/>
      <c r="AM468" s="23"/>
      <c r="AN468" s="23"/>
      <c r="AO468" s="24"/>
      <c r="AQ468" s="35"/>
      <c r="AR468" s="35"/>
      <c r="AS468" s="35"/>
      <c r="AT468" s="35"/>
      <c r="AU468" s="35"/>
      <c r="AV468" s="35"/>
      <c r="AW468" s="35"/>
      <c r="AX468" s="35"/>
      <c r="AY468" s="35"/>
      <c r="BA468" s="35"/>
      <c r="BC468" s="56"/>
      <c r="BD468" s="55"/>
      <c r="BF468" s="89"/>
    </row>
    <row r="469" spans="1:58" s="25" customFormat="1" x14ac:dyDescent="0.3">
      <c r="A469" s="19"/>
      <c r="B469" s="19"/>
      <c r="C469" s="50"/>
      <c r="D469" s="50"/>
      <c r="E469" s="50"/>
      <c r="F469" s="51"/>
      <c r="G469" s="57"/>
      <c r="H469" s="51"/>
      <c r="I469" s="52"/>
      <c r="J469" s="20"/>
      <c r="K469" s="21"/>
      <c r="L469" s="21"/>
      <c r="M469" s="46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59"/>
      <c r="AM469" s="23"/>
      <c r="AN469" s="23"/>
      <c r="AO469" s="24"/>
      <c r="AQ469" s="35"/>
      <c r="AR469" s="35"/>
      <c r="AS469" s="35"/>
      <c r="AT469" s="35"/>
      <c r="AU469" s="35"/>
      <c r="AV469" s="35"/>
      <c r="AW469" s="35"/>
      <c r="AX469" s="35"/>
      <c r="AY469" s="35"/>
      <c r="BA469" s="35"/>
      <c r="BC469" s="56"/>
      <c r="BD469" s="55"/>
      <c r="BF469" s="89"/>
    </row>
    <row r="470" spans="1:58" s="25" customFormat="1" x14ac:dyDescent="0.3">
      <c r="A470" s="19"/>
      <c r="B470" s="19"/>
      <c r="C470" s="50"/>
      <c r="D470" s="50"/>
      <c r="E470" s="50"/>
      <c r="F470" s="51"/>
      <c r="G470" s="57"/>
      <c r="H470" s="51"/>
      <c r="I470" s="52"/>
      <c r="J470" s="20"/>
      <c r="K470" s="21"/>
      <c r="L470" s="21"/>
      <c r="M470" s="46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59"/>
      <c r="AM470" s="23"/>
      <c r="AN470" s="23"/>
      <c r="AO470" s="24"/>
      <c r="AQ470" s="35"/>
      <c r="AR470" s="35"/>
      <c r="AS470" s="35"/>
      <c r="AT470" s="35"/>
      <c r="AU470" s="35"/>
      <c r="AV470" s="35"/>
      <c r="AW470" s="35"/>
      <c r="AX470" s="35"/>
      <c r="AY470" s="35"/>
      <c r="BA470" s="35"/>
      <c r="BC470" s="56"/>
      <c r="BD470" s="55"/>
      <c r="BF470" s="89"/>
    </row>
    <row r="471" spans="1:58" s="25" customFormat="1" x14ac:dyDescent="0.3">
      <c r="A471" s="19"/>
      <c r="B471" s="19"/>
      <c r="C471" s="50"/>
      <c r="D471" s="50"/>
      <c r="E471" s="50"/>
      <c r="F471" s="51"/>
      <c r="G471" s="57"/>
      <c r="H471" s="51"/>
      <c r="I471" s="52"/>
      <c r="J471" s="20"/>
      <c r="K471" s="21"/>
      <c r="L471" s="21"/>
      <c r="M471" s="46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59"/>
      <c r="AM471" s="23"/>
      <c r="AN471" s="23"/>
      <c r="AO471" s="24"/>
      <c r="AQ471" s="35"/>
      <c r="AR471" s="35"/>
      <c r="AS471" s="35"/>
      <c r="AT471" s="35"/>
      <c r="AU471" s="35"/>
      <c r="AV471" s="35"/>
      <c r="AW471" s="35"/>
      <c r="AX471" s="35"/>
      <c r="AY471" s="35"/>
      <c r="BA471" s="35"/>
      <c r="BC471" s="56"/>
      <c r="BD471" s="55"/>
      <c r="BF471" s="89"/>
    </row>
    <row r="472" spans="1:58" s="25" customFormat="1" x14ac:dyDescent="0.3">
      <c r="A472" s="19"/>
      <c r="B472" s="19"/>
      <c r="C472" s="50"/>
      <c r="D472" s="50"/>
      <c r="E472" s="50"/>
      <c r="F472" s="51"/>
      <c r="G472" s="57"/>
      <c r="H472" s="51"/>
      <c r="I472" s="52"/>
      <c r="J472" s="20"/>
      <c r="K472" s="21"/>
      <c r="L472" s="21"/>
      <c r="M472" s="46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59"/>
      <c r="AM472" s="23"/>
      <c r="AN472" s="23"/>
      <c r="AO472" s="24"/>
      <c r="AQ472" s="35"/>
      <c r="AR472" s="35"/>
      <c r="AS472" s="35"/>
      <c r="AT472" s="35"/>
      <c r="AU472" s="35"/>
      <c r="AV472" s="35"/>
      <c r="AW472" s="35"/>
      <c r="AX472" s="35"/>
      <c r="AY472" s="35"/>
      <c r="BA472" s="35"/>
      <c r="BC472" s="56"/>
      <c r="BD472" s="55"/>
      <c r="BF472" s="89"/>
    </row>
    <row r="473" spans="1:58" s="25" customFormat="1" x14ac:dyDescent="0.3">
      <c r="A473" s="19"/>
      <c r="B473" s="19"/>
      <c r="C473" s="50"/>
      <c r="D473" s="50"/>
      <c r="E473" s="50"/>
      <c r="F473" s="51"/>
      <c r="G473" s="57"/>
      <c r="H473" s="51"/>
      <c r="I473" s="52"/>
      <c r="J473" s="20"/>
      <c r="K473" s="21"/>
      <c r="L473" s="21"/>
      <c r="M473" s="46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59"/>
      <c r="AM473" s="23"/>
      <c r="AN473" s="23"/>
      <c r="AO473" s="24"/>
      <c r="AQ473" s="35"/>
      <c r="AR473" s="35"/>
      <c r="AS473" s="35"/>
      <c r="AT473" s="35"/>
      <c r="AU473" s="35"/>
      <c r="AV473" s="35"/>
      <c r="AW473" s="35"/>
      <c r="AX473" s="35"/>
      <c r="AY473" s="35"/>
      <c r="BA473" s="35"/>
      <c r="BC473" s="56"/>
      <c r="BD473" s="55"/>
      <c r="BF473" s="89"/>
    </row>
    <row r="474" spans="1:58" s="25" customFormat="1" x14ac:dyDescent="0.3">
      <c r="A474" s="19"/>
      <c r="B474" s="19"/>
      <c r="C474" s="50"/>
      <c r="D474" s="50"/>
      <c r="E474" s="50"/>
      <c r="F474" s="51"/>
      <c r="G474" s="57"/>
      <c r="H474" s="51"/>
      <c r="I474" s="52"/>
      <c r="J474" s="20"/>
      <c r="K474" s="21"/>
      <c r="L474" s="21"/>
      <c r="M474" s="46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59"/>
      <c r="AM474" s="23"/>
      <c r="AN474" s="23"/>
      <c r="AO474" s="24"/>
      <c r="AQ474" s="35"/>
      <c r="AR474" s="35"/>
      <c r="AS474" s="35"/>
      <c r="AT474" s="35"/>
      <c r="AU474" s="35"/>
      <c r="AV474" s="35"/>
      <c r="AW474" s="35"/>
      <c r="AX474" s="35"/>
      <c r="AY474" s="35"/>
      <c r="BA474" s="35"/>
      <c r="BC474" s="56"/>
      <c r="BD474" s="55"/>
      <c r="BF474" s="89"/>
    </row>
    <row r="475" spans="1:58" s="25" customFormat="1" x14ac:dyDescent="0.3">
      <c r="A475" s="19"/>
      <c r="B475" s="19"/>
      <c r="C475" s="50"/>
      <c r="D475" s="50"/>
      <c r="E475" s="50"/>
      <c r="F475" s="51"/>
      <c r="G475" s="57"/>
      <c r="H475" s="51"/>
      <c r="I475" s="52"/>
      <c r="J475" s="20"/>
      <c r="K475" s="21"/>
      <c r="L475" s="21"/>
      <c r="M475" s="46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59"/>
      <c r="AM475" s="23"/>
      <c r="AN475" s="23"/>
      <c r="AO475" s="24"/>
      <c r="AQ475" s="35"/>
      <c r="AR475" s="35"/>
      <c r="AS475" s="35"/>
      <c r="AT475" s="35"/>
      <c r="AU475" s="35"/>
      <c r="AV475" s="35"/>
      <c r="AW475" s="35"/>
      <c r="AX475" s="35"/>
      <c r="AY475" s="35"/>
      <c r="BA475" s="35"/>
      <c r="BC475" s="56"/>
      <c r="BD475" s="55"/>
      <c r="BF475" s="89"/>
    </row>
    <row r="476" spans="1:58" s="25" customFormat="1" x14ac:dyDescent="0.3">
      <c r="A476" s="19"/>
      <c r="B476" s="19"/>
      <c r="C476" s="50"/>
      <c r="D476" s="50"/>
      <c r="E476" s="50"/>
      <c r="F476" s="51"/>
      <c r="G476" s="57"/>
      <c r="H476" s="51"/>
      <c r="I476" s="52"/>
      <c r="J476" s="20"/>
      <c r="K476" s="21"/>
      <c r="L476" s="21"/>
      <c r="M476" s="46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59"/>
      <c r="AM476" s="23"/>
      <c r="AN476" s="23"/>
      <c r="AO476" s="24"/>
      <c r="AQ476" s="35"/>
      <c r="AR476" s="35"/>
      <c r="AS476" s="35"/>
      <c r="AT476" s="35"/>
      <c r="AU476" s="35"/>
      <c r="AV476" s="35"/>
      <c r="AW476" s="35"/>
      <c r="AX476" s="35"/>
      <c r="AY476" s="35"/>
      <c r="BA476" s="35"/>
      <c r="BC476" s="56"/>
      <c r="BD476" s="55"/>
      <c r="BF476" s="89"/>
    </row>
    <row r="477" spans="1:58" s="25" customFormat="1" x14ac:dyDescent="0.3">
      <c r="A477" s="19"/>
      <c r="B477" s="19"/>
      <c r="C477" s="50"/>
      <c r="D477" s="50"/>
      <c r="E477" s="50"/>
      <c r="F477" s="51"/>
      <c r="G477" s="57"/>
      <c r="H477" s="51"/>
      <c r="I477" s="52"/>
      <c r="J477" s="20"/>
      <c r="K477" s="21"/>
      <c r="L477" s="21"/>
      <c r="M477" s="46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59"/>
      <c r="AM477" s="23"/>
      <c r="AN477" s="23"/>
      <c r="AO477" s="24"/>
      <c r="AQ477" s="35"/>
      <c r="AR477" s="35"/>
      <c r="AS477" s="35"/>
      <c r="AT477" s="35"/>
      <c r="AU477" s="35"/>
      <c r="AV477" s="35"/>
      <c r="AW477" s="35"/>
      <c r="AX477" s="35"/>
      <c r="AY477" s="35"/>
      <c r="BA477" s="35"/>
      <c r="BC477" s="56"/>
      <c r="BD477" s="55"/>
      <c r="BF477" s="89"/>
    </row>
    <row r="478" spans="1:58" s="25" customFormat="1" x14ac:dyDescent="0.3">
      <c r="A478" s="19"/>
      <c r="B478" s="19"/>
      <c r="C478" s="50"/>
      <c r="D478" s="50"/>
      <c r="E478" s="50"/>
      <c r="F478" s="51"/>
      <c r="G478" s="57"/>
      <c r="H478" s="51"/>
      <c r="I478" s="52"/>
      <c r="J478" s="20"/>
      <c r="K478" s="21"/>
      <c r="L478" s="21"/>
      <c r="M478" s="46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59"/>
      <c r="AM478" s="23"/>
      <c r="AN478" s="23"/>
      <c r="AO478" s="24"/>
      <c r="AQ478" s="35"/>
      <c r="AR478" s="35"/>
      <c r="AS478" s="35"/>
      <c r="AT478" s="35"/>
      <c r="AU478" s="35"/>
      <c r="AV478" s="35"/>
      <c r="AW478" s="35"/>
      <c r="AX478" s="35"/>
      <c r="AY478" s="35"/>
      <c r="BA478" s="35"/>
      <c r="BC478" s="56"/>
      <c r="BD478" s="55"/>
      <c r="BF478" s="89"/>
    </row>
    <row r="479" spans="1:58" s="25" customFormat="1" x14ac:dyDescent="0.3">
      <c r="A479" s="19"/>
      <c r="B479" s="19"/>
      <c r="C479" s="50"/>
      <c r="D479" s="50"/>
      <c r="E479" s="50"/>
      <c r="F479" s="51"/>
      <c r="G479" s="57"/>
      <c r="H479" s="51"/>
      <c r="I479" s="52"/>
      <c r="J479" s="20"/>
      <c r="K479" s="21"/>
      <c r="L479" s="21"/>
      <c r="M479" s="46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59"/>
      <c r="AM479" s="23"/>
      <c r="AN479" s="23"/>
      <c r="AO479" s="24"/>
      <c r="AQ479" s="35"/>
      <c r="AR479" s="35"/>
      <c r="AS479" s="35"/>
      <c r="AT479" s="35"/>
      <c r="AU479" s="35"/>
      <c r="AV479" s="35"/>
      <c r="AW479" s="35"/>
      <c r="AX479" s="35"/>
      <c r="AY479" s="35"/>
      <c r="BA479" s="35"/>
      <c r="BC479" s="56"/>
      <c r="BD479" s="55"/>
      <c r="BF479" s="89"/>
    </row>
    <row r="480" spans="1:58" s="25" customFormat="1" x14ac:dyDescent="0.3">
      <c r="A480" s="19"/>
      <c r="B480" s="19"/>
      <c r="C480" s="50"/>
      <c r="D480" s="50"/>
      <c r="E480" s="50"/>
      <c r="F480" s="51"/>
      <c r="G480" s="57"/>
      <c r="H480" s="51"/>
      <c r="I480" s="52"/>
      <c r="J480" s="20"/>
      <c r="K480" s="21"/>
      <c r="L480" s="21"/>
      <c r="M480" s="46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59"/>
      <c r="AM480" s="23"/>
      <c r="AN480" s="23"/>
      <c r="AO480" s="24"/>
      <c r="AQ480" s="35"/>
      <c r="AR480" s="35"/>
      <c r="AS480" s="35"/>
      <c r="AT480" s="35"/>
      <c r="AU480" s="35"/>
      <c r="AV480" s="35"/>
      <c r="AW480" s="35"/>
      <c r="AX480" s="35"/>
      <c r="AY480" s="35"/>
      <c r="BA480" s="35"/>
      <c r="BC480" s="56"/>
      <c r="BD480" s="55"/>
      <c r="BF480" s="89"/>
    </row>
    <row r="481" spans="1:58" s="25" customFormat="1" x14ac:dyDescent="0.3">
      <c r="A481" s="19"/>
      <c r="B481" s="19"/>
      <c r="C481" s="50"/>
      <c r="D481" s="50"/>
      <c r="E481" s="50"/>
      <c r="F481" s="51"/>
      <c r="G481" s="57"/>
      <c r="H481" s="51"/>
      <c r="I481" s="52"/>
      <c r="J481" s="20"/>
      <c r="K481" s="21"/>
      <c r="L481" s="21"/>
      <c r="M481" s="46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59"/>
      <c r="AM481" s="23"/>
      <c r="AN481" s="23"/>
      <c r="AO481" s="24"/>
      <c r="AQ481" s="35"/>
      <c r="AR481" s="35"/>
      <c r="AS481" s="35"/>
      <c r="AT481" s="35"/>
      <c r="AU481" s="35"/>
      <c r="AV481" s="35"/>
      <c r="AW481" s="35"/>
      <c r="AX481" s="35"/>
      <c r="AY481" s="35"/>
      <c r="BA481" s="35"/>
      <c r="BC481" s="56"/>
      <c r="BD481" s="55"/>
      <c r="BF481" s="89"/>
    </row>
    <row r="482" spans="1:58" s="25" customFormat="1" x14ac:dyDescent="0.3">
      <c r="A482" s="19"/>
      <c r="B482" s="19"/>
      <c r="C482" s="50"/>
      <c r="D482" s="50"/>
      <c r="E482" s="50"/>
      <c r="F482" s="51"/>
      <c r="G482" s="57"/>
      <c r="H482" s="51"/>
      <c r="I482" s="52"/>
      <c r="J482" s="20"/>
      <c r="K482" s="21"/>
      <c r="L482" s="21"/>
      <c r="M482" s="46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59"/>
      <c r="AM482" s="23"/>
      <c r="AN482" s="23"/>
      <c r="AO482" s="24"/>
      <c r="AQ482" s="35"/>
      <c r="AR482" s="35"/>
      <c r="AS482" s="35"/>
      <c r="AT482" s="35"/>
      <c r="AU482" s="35"/>
      <c r="AV482" s="35"/>
      <c r="AW482" s="35"/>
      <c r="AX482" s="35"/>
      <c r="AY482" s="35"/>
      <c r="BA482" s="35"/>
      <c r="BC482" s="56"/>
      <c r="BD482" s="55"/>
      <c r="BF482" s="89"/>
    </row>
    <row r="483" spans="1:58" s="25" customFormat="1" x14ac:dyDescent="0.3">
      <c r="A483" s="19"/>
      <c r="B483" s="19"/>
      <c r="C483" s="50"/>
      <c r="D483" s="50"/>
      <c r="E483" s="50"/>
      <c r="F483" s="51"/>
      <c r="G483" s="57"/>
      <c r="H483" s="51"/>
      <c r="I483" s="52"/>
      <c r="J483" s="20"/>
      <c r="K483" s="21"/>
      <c r="L483" s="21"/>
      <c r="M483" s="46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59"/>
      <c r="AM483" s="23"/>
      <c r="AN483" s="23"/>
      <c r="AO483" s="24"/>
      <c r="AQ483" s="35"/>
      <c r="AR483" s="35"/>
      <c r="AS483" s="35"/>
      <c r="AT483" s="35"/>
      <c r="AU483" s="35"/>
      <c r="AV483" s="35"/>
      <c r="AW483" s="35"/>
      <c r="AX483" s="35"/>
      <c r="AY483" s="35"/>
      <c r="BA483" s="35"/>
      <c r="BC483" s="56"/>
      <c r="BD483" s="55"/>
      <c r="BF483" s="89"/>
    </row>
    <row r="484" spans="1:58" s="25" customFormat="1" x14ac:dyDescent="0.3">
      <c r="A484" s="19"/>
      <c r="B484" s="19"/>
      <c r="C484" s="50"/>
      <c r="D484" s="50"/>
      <c r="E484" s="50"/>
      <c r="F484" s="51"/>
      <c r="G484" s="57"/>
      <c r="H484" s="51"/>
      <c r="I484" s="52"/>
      <c r="J484" s="20"/>
      <c r="K484" s="21"/>
      <c r="L484" s="21"/>
      <c r="M484" s="46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59"/>
      <c r="AM484" s="23"/>
      <c r="AN484" s="23"/>
      <c r="AO484" s="24"/>
      <c r="AQ484" s="35"/>
      <c r="AR484" s="35"/>
      <c r="AS484" s="35"/>
      <c r="AT484" s="35"/>
      <c r="AU484" s="35"/>
      <c r="AV484" s="35"/>
      <c r="AW484" s="35"/>
      <c r="AX484" s="35"/>
      <c r="AY484" s="35"/>
      <c r="BA484" s="35"/>
      <c r="BC484" s="56"/>
      <c r="BD484" s="55"/>
      <c r="BF484" s="89"/>
    </row>
    <row r="485" spans="1:58" s="25" customFormat="1" x14ac:dyDescent="0.3">
      <c r="A485" s="19"/>
      <c r="B485" s="19"/>
      <c r="C485" s="50"/>
      <c r="D485" s="50"/>
      <c r="E485" s="50"/>
      <c r="F485" s="51"/>
      <c r="G485" s="57"/>
      <c r="H485" s="51"/>
      <c r="I485" s="52"/>
      <c r="J485" s="20"/>
      <c r="K485" s="21"/>
      <c r="L485" s="21"/>
      <c r="M485" s="46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59"/>
      <c r="AM485" s="23"/>
      <c r="AN485" s="23"/>
      <c r="AO485" s="24"/>
      <c r="AQ485" s="35"/>
      <c r="AR485" s="35"/>
      <c r="AS485" s="35"/>
      <c r="AT485" s="35"/>
      <c r="AU485" s="35"/>
      <c r="AV485" s="35"/>
      <c r="AW485" s="35"/>
      <c r="AX485" s="35"/>
      <c r="AY485" s="35"/>
      <c r="BA485" s="35"/>
      <c r="BC485" s="56"/>
      <c r="BD485" s="55"/>
      <c r="BF485" s="89"/>
    </row>
    <row r="486" spans="1:58" s="25" customFormat="1" x14ac:dyDescent="0.3">
      <c r="A486" s="19"/>
      <c r="B486" s="19"/>
      <c r="C486" s="50"/>
      <c r="D486" s="50"/>
      <c r="E486" s="50"/>
      <c r="F486" s="51"/>
      <c r="G486" s="57"/>
      <c r="H486" s="51"/>
      <c r="I486" s="52"/>
      <c r="J486" s="20"/>
      <c r="K486" s="21"/>
      <c r="L486" s="21"/>
      <c r="M486" s="46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59"/>
      <c r="AM486" s="23"/>
      <c r="AN486" s="23"/>
      <c r="AO486" s="24"/>
      <c r="AQ486" s="35"/>
      <c r="AR486" s="35"/>
      <c r="AS486" s="35"/>
      <c r="AT486" s="35"/>
      <c r="AU486" s="35"/>
      <c r="AV486" s="35"/>
      <c r="AW486" s="35"/>
      <c r="AX486" s="35"/>
      <c r="AY486" s="35"/>
      <c r="BA486" s="35"/>
      <c r="BC486" s="56"/>
      <c r="BD486" s="55"/>
      <c r="BF486" s="89"/>
    </row>
    <row r="487" spans="1:58" s="25" customFormat="1" x14ac:dyDescent="0.3">
      <c r="A487" s="19"/>
      <c r="B487" s="19"/>
      <c r="C487" s="50"/>
      <c r="D487" s="50"/>
      <c r="E487" s="50"/>
      <c r="F487" s="51"/>
      <c r="G487" s="57"/>
      <c r="H487" s="51"/>
      <c r="I487" s="52"/>
      <c r="J487" s="20"/>
      <c r="K487" s="21"/>
      <c r="L487" s="21"/>
      <c r="M487" s="46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59"/>
      <c r="AM487" s="23"/>
      <c r="AN487" s="23"/>
      <c r="AO487" s="24"/>
      <c r="AQ487" s="35"/>
      <c r="AR487" s="35"/>
      <c r="AS487" s="35"/>
      <c r="AT487" s="35"/>
      <c r="AU487" s="35"/>
      <c r="AV487" s="35"/>
      <c r="AW487" s="35"/>
      <c r="AX487" s="35"/>
      <c r="AY487" s="35"/>
      <c r="BA487" s="35"/>
      <c r="BC487" s="56"/>
      <c r="BD487" s="55"/>
      <c r="BF487" s="89"/>
    </row>
    <row r="488" spans="1:58" s="25" customFormat="1" x14ac:dyDescent="0.3">
      <c r="A488" s="19"/>
      <c r="B488" s="42"/>
      <c r="C488" s="43"/>
      <c r="D488" s="43"/>
      <c r="E488" s="43"/>
      <c r="F488" s="44"/>
      <c r="G488" s="58"/>
      <c r="H488" s="44"/>
      <c r="I488" s="45"/>
      <c r="J488" s="62"/>
      <c r="K488" s="63"/>
      <c r="L488" s="63"/>
      <c r="M488" s="64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59"/>
      <c r="AM488" s="23"/>
      <c r="AN488" s="23"/>
      <c r="AO488" s="24"/>
      <c r="AQ488" s="35"/>
      <c r="AR488" s="35"/>
      <c r="AS488" s="35"/>
      <c r="AT488" s="35"/>
      <c r="AU488" s="35"/>
      <c r="AV488" s="35"/>
      <c r="AW488" s="35"/>
      <c r="AX488" s="35"/>
      <c r="AY488" s="35"/>
      <c r="BA488" s="35"/>
      <c r="BC488" s="56"/>
      <c r="BD488" s="55"/>
      <c r="BF488" s="89"/>
    </row>
    <row r="489" spans="1:58" s="25" customFormat="1" x14ac:dyDescent="0.3">
      <c r="A489" s="19"/>
      <c r="B489" s="19"/>
      <c r="C489" s="50"/>
      <c r="D489" s="50"/>
      <c r="E489" s="50"/>
      <c r="F489" s="51"/>
      <c r="G489" s="57"/>
      <c r="H489" s="51"/>
      <c r="I489" s="52"/>
      <c r="J489" s="20"/>
      <c r="K489" s="21"/>
      <c r="L489" s="21"/>
      <c r="M489" s="46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59"/>
      <c r="AM489" s="23"/>
      <c r="AN489" s="23"/>
      <c r="AO489" s="24"/>
      <c r="AQ489" s="35"/>
      <c r="AR489" s="35"/>
      <c r="AS489" s="35"/>
      <c r="AT489" s="35"/>
      <c r="AU489" s="35"/>
      <c r="AV489" s="35"/>
      <c r="AW489" s="35"/>
      <c r="AX489" s="35"/>
      <c r="AY489" s="35"/>
      <c r="BA489" s="35"/>
      <c r="BC489" s="56"/>
      <c r="BD489" s="55"/>
      <c r="BF489" s="89"/>
    </row>
    <row r="490" spans="1:58" s="25" customFormat="1" x14ac:dyDescent="0.3">
      <c r="A490" s="19"/>
      <c r="B490" s="19"/>
      <c r="C490" s="50"/>
      <c r="D490" s="50"/>
      <c r="E490" s="50"/>
      <c r="F490" s="51"/>
      <c r="G490" s="57"/>
      <c r="H490" s="51"/>
      <c r="I490" s="52"/>
      <c r="J490" s="20"/>
      <c r="K490" s="21"/>
      <c r="L490" s="21"/>
      <c r="M490" s="46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59"/>
      <c r="AM490" s="23"/>
      <c r="AN490" s="23"/>
      <c r="AO490" s="24"/>
      <c r="AQ490" s="35"/>
      <c r="AR490" s="35"/>
      <c r="AS490" s="35"/>
      <c r="AT490" s="35"/>
      <c r="AU490" s="35"/>
      <c r="AV490" s="35"/>
      <c r="AW490" s="35"/>
      <c r="AX490" s="35"/>
      <c r="AY490" s="35"/>
      <c r="BA490" s="35"/>
      <c r="BC490" s="56"/>
      <c r="BD490" s="55"/>
      <c r="BF490" s="89"/>
    </row>
    <row r="491" spans="1:58" s="25" customFormat="1" x14ac:dyDescent="0.3">
      <c r="A491" s="19"/>
      <c r="B491" s="19"/>
      <c r="C491" s="50"/>
      <c r="D491" s="50"/>
      <c r="E491" s="50"/>
      <c r="F491" s="51"/>
      <c r="G491" s="57"/>
      <c r="H491" s="51"/>
      <c r="I491" s="52"/>
      <c r="J491" s="20"/>
      <c r="K491" s="21"/>
      <c r="L491" s="21"/>
      <c r="M491" s="46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59"/>
      <c r="AM491" s="23"/>
      <c r="AN491" s="23"/>
      <c r="AO491" s="24"/>
      <c r="AQ491" s="35"/>
      <c r="AR491" s="35"/>
      <c r="AS491" s="35"/>
      <c r="AT491" s="35"/>
      <c r="AU491" s="35"/>
      <c r="AV491" s="35"/>
      <c r="AW491" s="35"/>
      <c r="AX491" s="35"/>
      <c r="AY491" s="35"/>
      <c r="BA491" s="35"/>
      <c r="BC491" s="56"/>
      <c r="BD491" s="55"/>
      <c r="BF491" s="89"/>
    </row>
    <row r="492" spans="1:58" s="25" customFormat="1" x14ac:dyDescent="0.3">
      <c r="A492" s="19"/>
      <c r="B492" s="19"/>
      <c r="C492" s="50"/>
      <c r="D492" s="50"/>
      <c r="E492" s="50"/>
      <c r="F492" s="51"/>
      <c r="G492" s="57"/>
      <c r="H492" s="51"/>
      <c r="I492" s="52"/>
      <c r="J492" s="20"/>
      <c r="K492" s="21"/>
      <c r="L492" s="21"/>
      <c r="M492" s="46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59"/>
      <c r="AM492" s="23"/>
      <c r="AN492" s="23"/>
      <c r="AO492" s="24"/>
      <c r="AQ492" s="35"/>
      <c r="AR492" s="35"/>
      <c r="AS492" s="35"/>
      <c r="AT492" s="35"/>
      <c r="AU492" s="35"/>
      <c r="AV492" s="35"/>
      <c r="AW492" s="35"/>
      <c r="AX492" s="35"/>
      <c r="AY492" s="35"/>
      <c r="BA492" s="35"/>
      <c r="BC492" s="56"/>
      <c r="BD492" s="55"/>
      <c r="BF492" s="89"/>
    </row>
    <row r="493" spans="1:58" s="25" customFormat="1" x14ac:dyDescent="0.3">
      <c r="A493" s="19"/>
      <c r="B493" s="19"/>
      <c r="C493" s="50"/>
      <c r="D493" s="50"/>
      <c r="E493" s="50"/>
      <c r="F493" s="51"/>
      <c r="G493" s="57"/>
      <c r="H493" s="51"/>
      <c r="I493" s="52"/>
      <c r="J493" s="20"/>
      <c r="K493" s="21"/>
      <c r="L493" s="21"/>
      <c r="M493" s="46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59"/>
      <c r="AM493" s="23"/>
      <c r="AN493" s="23"/>
      <c r="AO493" s="24"/>
      <c r="AQ493" s="35"/>
      <c r="AR493" s="35"/>
      <c r="AS493" s="35"/>
      <c r="AT493" s="35"/>
      <c r="AU493" s="35"/>
      <c r="AV493" s="35"/>
      <c r="AW493" s="35"/>
      <c r="AX493" s="35"/>
      <c r="AY493" s="35"/>
      <c r="BA493" s="35"/>
      <c r="BC493" s="56"/>
      <c r="BD493" s="55"/>
      <c r="BF493" s="89"/>
    </row>
    <row r="494" spans="1:58" s="25" customFormat="1" x14ac:dyDescent="0.3">
      <c r="A494" s="19"/>
      <c r="B494" s="19"/>
      <c r="C494" s="50"/>
      <c r="D494" s="50"/>
      <c r="E494" s="50"/>
      <c r="F494" s="51"/>
      <c r="G494" s="57"/>
      <c r="H494" s="51"/>
      <c r="I494" s="52"/>
      <c r="J494" s="20"/>
      <c r="K494" s="21"/>
      <c r="L494" s="21"/>
      <c r="M494" s="46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59"/>
      <c r="AM494" s="23"/>
      <c r="AN494" s="23"/>
      <c r="AO494" s="24"/>
      <c r="AQ494" s="35"/>
      <c r="AR494" s="35"/>
      <c r="AS494" s="35"/>
      <c r="AT494" s="35"/>
      <c r="AU494" s="35"/>
      <c r="AV494" s="35"/>
      <c r="AW494" s="35"/>
      <c r="AX494" s="35"/>
      <c r="AY494" s="35"/>
      <c r="BA494" s="35"/>
      <c r="BC494" s="56"/>
      <c r="BD494" s="55"/>
      <c r="BF494" s="89"/>
    </row>
    <row r="495" spans="1:58" s="25" customFormat="1" x14ac:dyDescent="0.3">
      <c r="A495" s="19"/>
      <c r="B495" s="19"/>
      <c r="C495" s="50"/>
      <c r="D495" s="50"/>
      <c r="E495" s="50"/>
      <c r="F495" s="51"/>
      <c r="G495" s="57"/>
      <c r="H495" s="51"/>
      <c r="I495" s="52"/>
      <c r="J495" s="20"/>
      <c r="K495" s="21"/>
      <c r="L495" s="21"/>
      <c r="M495" s="46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59"/>
      <c r="AM495" s="23"/>
      <c r="AN495" s="23"/>
      <c r="AO495" s="24"/>
      <c r="AQ495" s="35"/>
      <c r="AR495" s="35"/>
      <c r="AS495" s="35"/>
      <c r="AT495" s="35"/>
      <c r="AU495" s="35"/>
      <c r="AV495" s="35"/>
      <c r="AW495" s="35"/>
      <c r="AX495" s="35"/>
      <c r="AY495" s="35"/>
      <c r="BA495" s="35"/>
      <c r="BC495" s="56"/>
      <c r="BD495" s="55"/>
      <c r="BF495" s="89"/>
    </row>
    <row r="496" spans="1:58" s="25" customFormat="1" x14ac:dyDescent="0.3">
      <c r="A496" s="19"/>
      <c r="B496" s="19"/>
      <c r="C496" s="50"/>
      <c r="D496" s="50"/>
      <c r="E496" s="50"/>
      <c r="F496" s="51"/>
      <c r="G496" s="57"/>
      <c r="H496" s="51"/>
      <c r="I496" s="52"/>
      <c r="J496" s="20"/>
      <c r="K496" s="21"/>
      <c r="L496" s="21"/>
      <c r="M496" s="46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59"/>
      <c r="AM496" s="23"/>
      <c r="AN496" s="23"/>
      <c r="AO496" s="24"/>
      <c r="AQ496" s="35"/>
      <c r="AR496" s="35"/>
      <c r="AS496" s="35"/>
      <c r="AT496" s="35"/>
      <c r="AU496" s="35"/>
      <c r="AV496" s="35"/>
      <c r="AW496" s="35"/>
      <c r="AX496" s="35"/>
      <c r="AY496" s="35"/>
      <c r="BA496" s="35"/>
      <c r="BC496" s="56"/>
      <c r="BD496" s="55"/>
      <c r="BF496" s="89"/>
    </row>
    <row r="497" spans="1:58" s="25" customFormat="1" x14ac:dyDescent="0.3">
      <c r="A497" s="19"/>
      <c r="B497" s="19"/>
      <c r="C497" s="50"/>
      <c r="D497" s="50"/>
      <c r="E497" s="50"/>
      <c r="F497" s="51"/>
      <c r="G497" s="57"/>
      <c r="H497" s="51"/>
      <c r="I497" s="52"/>
      <c r="J497" s="20"/>
      <c r="K497" s="21"/>
      <c r="L497" s="21"/>
      <c r="M497" s="46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59"/>
      <c r="AM497" s="23"/>
      <c r="AN497" s="23"/>
      <c r="AO497" s="24"/>
      <c r="AQ497" s="35"/>
      <c r="AR497" s="35"/>
      <c r="AS497" s="35"/>
      <c r="AT497" s="35"/>
      <c r="AU497" s="35"/>
      <c r="AV497" s="35"/>
      <c r="AW497" s="35"/>
      <c r="AX497" s="35"/>
      <c r="AY497" s="35"/>
      <c r="BA497" s="35"/>
      <c r="BC497" s="56"/>
      <c r="BD497" s="55"/>
      <c r="BF497" s="89"/>
    </row>
    <row r="498" spans="1:58" s="25" customFormat="1" x14ac:dyDescent="0.3">
      <c r="A498" s="19"/>
      <c r="B498" s="19"/>
      <c r="C498" s="50"/>
      <c r="D498" s="50"/>
      <c r="E498" s="50"/>
      <c r="F498" s="51"/>
      <c r="G498" s="57"/>
      <c r="H498" s="51"/>
      <c r="I498" s="52"/>
      <c r="J498" s="20"/>
      <c r="K498" s="21"/>
      <c r="L498" s="21"/>
      <c r="M498" s="46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59"/>
      <c r="AM498" s="23"/>
      <c r="AN498" s="23"/>
      <c r="AO498" s="24"/>
      <c r="AQ498" s="35"/>
      <c r="AR498" s="35"/>
      <c r="AS498" s="35"/>
      <c r="AT498" s="35"/>
      <c r="AU498" s="35"/>
      <c r="AV498" s="35"/>
      <c r="AW498" s="35"/>
      <c r="AX498" s="35"/>
      <c r="AY498" s="35"/>
      <c r="BA498" s="35"/>
      <c r="BC498" s="56"/>
      <c r="BD498" s="55"/>
      <c r="BF498" s="89"/>
    </row>
    <row r="499" spans="1:58" s="25" customFormat="1" x14ac:dyDescent="0.3">
      <c r="A499" s="19"/>
      <c r="B499" s="19"/>
      <c r="C499" s="50"/>
      <c r="D499" s="50"/>
      <c r="E499" s="50"/>
      <c r="F499" s="51"/>
      <c r="G499" s="57"/>
      <c r="H499" s="51"/>
      <c r="I499" s="52"/>
      <c r="J499" s="20"/>
      <c r="K499" s="21"/>
      <c r="L499" s="21"/>
      <c r="M499" s="46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59"/>
      <c r="AM499" s="23"/>
      <c r="AN499" s="23"/>
      <c r="AO499" s="24"/>
      <c r="AQ499" s="35"/>
      <c r="AR499" s="35"/>
      <c r="AS499" s="35"/>
      <c r="AT499" s="35"/>
      <c r="AU499" s="35"/>
      <c r="AV499" s="35"/>
      <c r="AW499" s="35"/>
      <c r="AX499" s="35"/>
      <c r="AY499" s="35"/>
      <c r="BA499" s="35"/>
      <c r="BC499" s="56"/>
      <c r="BD499" s="55"/>
      <c r="BF499" s="89"/>
    </row>
    <row r="500" spans="1:58" s="25" customFormat="1" x14ac:dyDescent="0.3">
      <c r="A500" s="19"/>
      <c r="B500" s="19"/>
      <c r="C500" s="50"/>
      <c r="D500" s="50"/>
      <c r="E500" s="50"/>
      <c r="F500" s="51"/>
      <c r="G500" s="57"/>
      <c r="H500" s="51"/>
      <c r="I500" s="52"/>
      <c r="J500" s="20"/>
      <c r="K500" s="21"/>
      <c r="L500" s="21"/>
      <c r="M500" s="46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59"/>
      <c r="AM500" s="23"/>
      <c r="AN500" s="23"/>
      <c r="AO500" s="24"/>
      <c r="AQ500" s="35"/>
      <c r="AR500" s="35"/>
      <c r="AS500" s="35"/>
      <c r="AT500" s="35"/>
      <c r="AU500" s="35"/>
      <c r="AV500" s="35"/>
      <c r="AW500" s="35"/>
      <c r="AX500" s="35"/>
      <c r="AY500" s="35"/>
      <c r="BA500" s="35"/>
      <c r="BC500" s="56"/>
      <c r="BD500" s="55"/>
      <c r="BF500" s="89"/>
    </row>
    <row r="501" spans="1:58" s="25" customFormat="1" x14ac:dyDescent="0.3">
      <c r="A501" s="19"/>
      <c r="B501" s="19"/>
      <c r="C501" s="50"/>
      <c r="D501" s="50"/>
      <c r="E501" s="50"/>
      <c r="F501" s="51"/>
      <c r="G501" s="57"/>
      <c r="H501" s="51"/>
      <c r="I501" s="52"/>
      <c r="J501" s="20"/>
      <c r="K501" s="21"/>
      <c r="L501" s="21"/>
      <c r="M501" s="46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59"/>
      <c r="AM501" s="23"/>
      <c r="AN501" s="23"/>
      <c r="AO501" s="24"/>
      <c r="AQ501" s="35"/>
      <c r="AR501" s="35"/>
      <c r="AS501" s="35"/>
      <c r="AT501" s="35"/>
      <c r="AU501" s="35"/>
      <c r="AV501" s="35"/>
      <c r="AW501" s="35"/>
      <c r="AX501" s="35"/>
      <c r="AY501" s="35"/>
      <c r="BA501" s="35"/>
      <c r="BC501" s="56"/>
      <c r="BD501" s="55"/>
      <c r="BF501" s="89"/>
    </row>
    <row r="502" spans="1:58" s="25" customFormat="1" x14ac:dyDescent="0.3">
      <c r="A502" s="19"/>
      <c r="B502" s="19"/>
      <c r="C502" s="50"/>
      <c r="D502" s="50"/>
      <c r="E502" s="50"/>
      <c r="F502" s="51"/>
      <c r="G502" s="57"/>
      <c r="H502" s="51"/>
      <c r="I502" s="52"/>
      <c r="J502" s="20"/>
      <c r="K502" s="21"/>
      <c r="L502" s="21"/>
      <c r="M502" s="46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59"/>
      <c r="AM502" s="23"/>
      <c r="AN502" s="23"/>
      <c r="AO502" s="24"/>
      <c r="AQ502" s="35"/>
      <c r="AR502" s="35"/>
      <c r="AS502" s="35"/>
      <c r="AT502" s="35"/>
      <c r="AU502" s="35"/>
      <c r="AV502" s="35"/>
      <c r="AW502" s="35"/>
      <c r="AX502" s="35"/>
      <c r="AY502" s="35"/>
      <c r="BA502" s="35"/>
      <c r="BC502" s="56"/>
      <c r="BD502" s="55"/>
      <c r="BF502" s="89"/>
    </row>
    <row r="503" spans="1:58" s="25" customFormat="1" x14ac:dyDescent="0.3">
      <c r="A503" s="19"/>
      <c r="B503" s="19"/>
      <c r="C503" s="50"/>
      <c r="D503" s="50"/>
      <c r="E503" s="50"/>
      <c r="F503" s="51"/>
      <c r="G503" s="57"/>
      <c r="H503" s="51"/>
      <c r="I503" s="52"/>
      <c r="J503" s="20"/>
      <c r="K503" s="21"/>
      <c r="L503" s="21"/>
      <c r="M503" s="46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59"/>
      <c r="AM503" s="23"/>
      <c r="AN503" s="23"/>
      <c r="AO503" s="24"/>
      <c r="AQ503" s="35"/>
      <c r="AR503" s="35"/>
      <c r="AS503" s="35"/>
      <c r="AT503" s="35"/>
      <c r="AU503" s="35"/>
      <c r="AV503" s="35"/>
      <c r="AW503" s="35"/>
      <c r="AX503" s="35"/>
      <c r="AY503" s="35"/>
      <c r="BA503" s="35"/>
      <c r="BC503" s="56"/>
      <c r="BD503" s="55"/>
      <c r="BF503" s="89"/>
    </row>
    <row r="504" spans="1:58" s="25" customFormat="1" x14ac:dyDescent="0.3">
      <c r="A504" s="19"/>
      <c r="B504" s="19"/>
      <c r="C504" s="50"/>
      <c r="D504" s="50"/>
      <c r="E504" s="50"/>
      <c r="F504" s="51"/>
      <c r="G504" s="57"/>
      <c r="H504" s="51"/>
      <c r="I504" s="52"/>
      <c r="J504" s="20"/>
      <c r="K504" s="21"/>
      <c r="L504" s="21"/>
      <c r="M504" s="46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59"/>
      <c r="AM504" s="23"/>
      <c r="AN504" s="23"/>
      <c r="AO504" s="24"/>
      <c r="AQ504" s="35"/>
      <c r="AR504" s="35"/>
      <c r="AS504" s="35"/>
      <c r="AT504" s="35"/>
      <c r="AU504" s="35"/>
      <c r="AV504" s="35"/>
      <c r="AW504" s="35"/>
      <c r="AX504" s="35"/>
      <c r="AY504" s="35"/>
      <c r="BA504" s="35"/>
      <c r="BC504" s="56"/>
      <c r="BD504" s="55"/>
      <c r="BF504" s="89"/>
    </row>
    <row r="505" spans="1:58" s="25" customFormat="1" x14ac:dyDescent="0.3">
      <c r="A505" s="19"/>
      <c r="B505" s="19"/>
      <c r="C505" s="50"/>
      <c r="D505" s="50"/>
      <c r="E505" s="50"/>
      <c r="F505" s="51"/>
      <c r="G505" s="57"/>
      <c r="H505" s="51"/>
      <c r="I505" s="52"/>
      <c r="J505" s="20"/>
      <c r="K505" s="21"/>
      <c r="L505" s="21"/>
      <c r="M505" s="46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59"/>
      <c r="AM505" s="23"/>
      <c r="AN505" s="23"/>
      <c r="AO505" s="24"/>
      <c r="AQ505" s="35"/>
      <c r="AR505" s="35"/>
      <c r="AS505" s="35"/>
      <c r="AT505" s="35"/>
      <c r="AU505" s="35"/>
      <c r="AV505" s="35"/>
      <c r="AW505" s="35"/>
      <c r="AX505" s="35"/>
      <c r="AY505" s="35"/>
      <c r="BA505" s="35"/>
      <c r="BC505" s="56"/>
      <c r="BD505" s="55"/>
      <c r="BF505" s="89"/>
    </row>
    <row r="506" spans="1:58" s="25" customFormat="1" x14ac:dyDescent="0.3">
      <c r="A506" s="19"/>
      <c r="B506" s="19"/>
      <c r="C506" s="50"/>
      <c r="D506" s="50"/>
      <c r="E506" s="50"/>
      <c r="F506" s="51"/>
      <c r="G506" s="57"/>
      <c r="H506" s="51"/>
      <c r="I506" s="52"/>
      <c r="J506" s="20"/>
      <c r="K506" s="21"/>
      <c r="L506" s="21"/>
      <c r="M506" s="46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59"/>
      <c r="AM506" s="23"/>
      <c r="AN506" s="23"/>
      <c r="AO506" s="24"/>
      <c r="AQ506" s="35"/>
      <c r="AR506" s="35"/>
      <c r="AS506" s="35"/>
      <c r="AT506" s="35"/>
      <c r="AU506" s="35"/>
      <c r="AV506" s="35"/>
      <c r="AW506" s="35"/>
      <c r="AX506" s="35"/>
      <c r="AY506" s="35"/>
      <c r="BA506" s="35"/>
      <c r="BC506" s="56"/>
      <c r="BD506" s="55"/>
      <c r="BF506" s="89"/>
    </row>
    <row r="507" spans="1:58" s="25" customFormat="1" x14ac:dyDescent="0.3">
      <c r="A507" s="19"/>
      <c r="B507" s="19"/>
      <c r="C507" s="50"/>
      <c r="D507" s="50"/>
      <c r="E507" s="50"/>
      <c r="F507" s="51"/>
      <c r="G507" s="57"/>
      <c r="H507" s="51"/>
      <c r="I507" s="52"/>
      <c r="J507" s="20"/>
      <c r="K507" s="21"/>
      <c r="L507" s="21"/>
      <c r="M507" s="46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59"/>
      <c r="AM507" s="23"/>
      <c r="AN507" s="23"/>
      <c r="AO507" s="24"/>
      <c r="AQ507" s="35"/>
      <c r="AR507" s="35"/>
      <c r="AS507" s="35"/>
      <c r="AT507" s="35"/>
      <c r="AU507" s="35"/>
      <c r="AV507" s="35"/>
      <c r="AW507" s="35"/>
      <c r="AX507" s="35"/>
      <c r="AY507" s="35"/>
      <c r="BA507" s="35"/>
      <c r="BC507" s="56"/>
      <c r="BD507" s="55"/>
      <c r="BF507" s="89"/>
    </row>
    <row r="508" spans="1:58" s="25" customFormat="1" x14ac:dyDescent="0.3">
      <c r="A508" s="19"/>
      <c r="B508" s="19"/>
      <c r="C508" s="50"/>
      <c r="D508" s="50"/>
      <c r="E508" s="50"/>
      <c r="F508" s="51"/>
      <c r="G508" s="57"/>
      <c r="H508" s="51"/>
      <c r="I508" s="52"/>
      <c r="J508" s="20"/>
      <c r="K508" s="21"/>
      <c r="L508" s="21"/>
      <c r="M508" s="46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59"/>
      <c r="AM508" s="23"/>
      <c r="AN508" s="23"/>
      <c r="AO508" s="24"/>
      <c r="AQ508" s="35"/>
      <c r="AR508" s="35"/>
      <c r="AS508" s="35"/>
      <c r="AT508" s="35"/>
      <c r="AU508" s="35"/>
      <c r="AV508" s="35"/>
      <c r="AW508" s="35"/>
      <c r="AX508" s="35"/>
      <c r="AY508" s="35"/>
      <c r="BA508" s="35"/>
      <c r="BC508" s="56"/>
      <c r="BD508" s="55"/>
      <c r="BF508" s="89"/>
    </row>
    <row r="509" spans="1:58" s="25" customFormat="1" x14ac:dyDescent="0.3">
      <c r="A509" s="19"/>
      <c r="B509" s="19"/>
      <c r="C509" s="50"/>
      <c r="D509" s="50"/>
      <c r="E509" s="50"/>
      <c r="F509" s="51"/>
      <c r="G509" s="57"/>
      <c r="H509" s="51"/>
      <c r="I509" s="52"/>
      <c r="J509" s="20"/>
      <c r="K509" s="21"/>
      <c r="L509" s="21"/>
      <c r="M509" s="46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59"/>
      <c r="AM509" s="23"/>
      <c r="AN509" s="23"/>
      <c r="AO509" s="24"/>
      <c r="AQ509" s="35"/>
      <c r="AR509" s="35"/>
      <c r="AS509" s="35"/>
      <c r="AT509" s="35"/>
      <c r="AU509" s="35"/>
      <c r="AV509" s="35"/>
      <c r="AW509" s="35"/>
      <c r="AX509" s="35"/>
      <c r="AY509" s="35"/>
      <c r="BA509" s="35"/>
      <c r="BC509" s="56"/>
      <c r="BD509" s="55"/>
      <c r="BF509" s="89"/>
    </row>
    <row r="510" spans="1:58" s="25" customFormat="1" x14ac:dyDescent="0.3">
      <c r="A510" s="19"/>
      <c r="B510" s="19"/>
      <c r="C510" s="50"/>
      <c r="D510" s="50"/>
      <c r="E510" s="50"/>
      <c r="F510" s="51"/>
      <c r="G510" s="57"/>
      <c r="H510" s="51"/>
      <c r="I510" s="52"/>
      <c r="J510" s="20"/>
      <c r="K510" s="21"/>
      <c r="L510" s="21"/>
      <c r="M510" s="46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59"/>
      <c r="AM510" s="23"/>
      <c r="AN510" s="23"/>
      <c r="AO510" s="24"/>
      <c r="AQ510" s="35"/>
      <c r="AR510" s="35"/>
      <c r="AS510" s="35"/>
      <c r="AT510" s="35"/>
      <c r="AU510" s="35"/>
      <c r="AV510" s="35"/>
      <c r="AW510" s="35"/>
      <c r="AX510" s="35"/>
      <c r="AY510" s="35"/>
      <c r="BA510" s="35"/>
      <c r="BC510" s="56"/>
      <c r="BD510" s="55"/>
      <c r="BF510" s="89"/>
    </row>
    <row r="511" spans="1:58" s="25" customFormat="1" x14ac:dyDescent="0.3">
      <c r="A511" s="19"/>
      <c r="B511" s="19"/>
      <c r="C511" s="50"/>
      <c r="D511" s="50"/>
      <c r="E511" s="50"/>
      <c r="F511" s="51"/>
      <c r="G511" s="57"/>
      <c r="H511" s="51"/>
      <c r="I511" s="52"/>
      <c r="J511" s="20"/>
      <c r="K511" s="21"/>
      <c r="L511" s="21"/>
      <c r="M511" s="46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59"/>
      <c r="AM511" s="23"/>
      <c r="AN511" s="23"/>
      <c r="AO511" s="24"/>
      <c r="AQ511" s="35"/>
      <c r="AR511" s="35"/>
      <c r="AS511" s="35"/>
      <c r="AT511" s="35"/>
      <c r="AU511" s="35"/>
      <c r="AV511" s="35"/>
      <c r="AW511" s="35"/>
      <c r="AX511" s="35"/>
      <c r="AY511" s="35"/>
      <c r="BA511" s="35"/>
      <c r="BC511" s="56"/>
      <c r="BD511" s="55"/>
      <c r="BF511" s="89"/>
    </row>
    <row r="512" spans="1:58" s="25" customFormat="1" x14ac:dyDescent="0.3">
      <c r="A512" s="19"/>
      <c r="B512" s="19"/>
      <c r="C512" s="50"/>
      <c r="D512" s="50"/>
      <c r="E512" s="50"/>
      <c r="F512" s="51"/>
      <c r="G512" s="57"/>
      <c r="H512" s="51"/>
      <c r="I512" s="52"/>
      <c r="J512" s="20"/>
      <c r="K512" s="21"/>
      <c r="L512" s="21"/>
      <c r="M512" s="46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59"/>
      <c r="AM512" s="23"/>
      <c r="AN512" s="23"/>
      <c r="AO512" s="24"/>
      <c r="AQ512" s="35"/>
      <c r="AR512" s="35"/>
      <c r="AS512" s="35"/>
      <c r="AT512" s="35"/>
      <c r="AU512" s="35"/>
      <c r="AV512" s="35"/>
      <c r="AW512" s="35"/>
      <c r="AX512" s="35"/>
      <c r="AY512" s="35"/>
      <c r="BA512" s="35"/>
      <c r="BC512" s="56"/>
      <c r="BD512" s="55"/>
      <c r="BF512" s="89"/>
    </row>
    <row r="513" spans="1:58" s="25" customFormat="1" x14ac:dyDescent="0.3">
      <c r="A513" s="19"/>
      <c r="B513" s="19"/>
      <c r="C513" s="50"/>
      <c r="D513" s="50"/>
      <c r="E513" s="50"/>
      <c r="F513" s="51"/>
      <c r="G513" s="57"/>
      <c r="H513" s="51"/>
      <c r="I513" s="52"/>
      <c r="J513" s="20"/>
      <c r="K513" s="21"/>
      <c r="L513" s="21"/>
      <c r="M513" s="46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59"/>
      <c r="AM513" s="23"/>
      <c r="AN513" s="23"/>
      <c r="AO513" s="24"/>
      <c r="AQ513" s="35"/>
      <c r="AR513" s="35"/>
      <c r="AS513" s="35"/>
      <c r="AT513" s="35"/>
      <c r="AU513" s="35"/>
      <c r="AV513" s="35"/>
      <c r="AW513" s="35"/>
      <c r="AX513" s="35"/>
      <c r="AY513" s="35"/>
      <c r="BA513" s="35"/>
      <c r="BC513" s="56"/>
      <c r="BD513" s="55"/>
      <c r="BF513" s="89"/>
    </row>
    <row r="514" spans="1:58" s="25" customFormat="1" x14ac:dyDescent="0.3">
      <c r="A514" s="19"/>
      <c r="B514" s="19"/>
      <c r="C514" s="50"/>
      <c r="D514" s="50"/>
      <c r="E514" s="50"/>
      <c r="F514" s="51"/>
      <c r="G514" s="57"/>
      <c r="H514" s="51"/>
      <c r="I514" s="52"/>
      <c r="J514" s="20"/>
      <c r="K514" s="21"/>
      <c r="L514" s="21"/>
      <c r="M514" s="46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59"/>
      <c r="AM514" s="23"/>
      <c r="AN514" s="23"/>
      <c r="AO514" s="24"/>
      <c r="AQ514" s="35"/>
      <c r="AR514" s="35"/>
      <c r="AS514" s="35"/>
      <c r="AT514" s="35"/>
      <c r="AU514" s="35"/>
      <c r="AV514" s="35"/>
      <c r="AW514" s="35"/>
      <c r="AX514" s="35"/>
      <c r="AY514" s="35"/>
      <c r="BA514" s="35"/>
      <c r="BC514" s="56"/>
      <c r="BD514" s="55"/>
      <c r="BF514" s="89"/>
    </row>
    <row r="515" spans="1:58" s="25" customFormat="1" x14ac:dyDescent="0.3">
      <c r="A515" s="19"/>
      <c r="B515" s="19"/>
      <c r="C515" s="50"/>
      <c r="D515" s="50"/>
      <c r="E515" s="50"/>
      <c r="F515" s="51"/>
      <c r="G515" s="57"/>
      <c r="H515" s="51"/>
      <c r="I515" s="52"/>
      <c r="J515" s="20"/>
      <c r="K515" s="21"/>
      <c r="L515" s="21"/>
      <c r="M515" s="46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59"/>
      <c r="AM515" s="23"/>
      <c r="AN515" s="23"/>
      <c r="AO515" s="24"/>
      <c r="AQ515" s="35"/>
      <c r="AR515" s="35"/>
      <c r="AS515" s="35"/>
      <c r="AT515" s="35"/>
      <c r="AU515" s="35"/>
      <c r="AV515" s="35"/>
      <c r="AW515" s="35"/>
      <c r="AX515" s="35"/>
      <c r="AY515" s="35"/>
      <c r="BA515" s="35"/>
      <c r="BC515" s="56"/>
      <c r="BD515" s="55"/>
      <c r="BF515" s="89"/>
    </row>
    <row r="516" spans="1:58" s="25" customFormat="1" x14ac:dyDescent="0.3">
      <c r="A516" s="19"/>
      <c r="B516" s="19"/>
      <c r="C516" s="50"/>
      <c r="D516" s="50"/>
      <c r="E516" s="50"/>
      <c r="F516" s="51"/>
      <c r="G516" s="57"/>
      <c r="H516" s="51"/>
      <c r="I516" s="52"/>
      <c r="J516" s="20"/>
      <c r="K516" s="21"/>
      <c r="L516" s="21"/>
      <c r="M516" s="46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59"/>
      <c r="AM516" s="23"/>
      <c r="AN516" s="23"/>
      <c r="AO516" s="24"/>
      <c r="AQ516" s="35"/>
      <c r="AR516" s="35"/>
      <c r="AS516" s="35"/>
      <c r="AT516" s="35"/>
      <c r="AU516" s="35"/>
      <c r="AV516" s="35"/>
      <c r="AW516" s="35"/>
      <c r="AX516" s="35"/>
      <c r="AY516" s="35"/>
      <c r="BA516" s="35"/>
      <c r="BC516" s="56"/>
      <c r="BD516" s="55"/>
      <c r="BF516" s="89"/>
    </row>
    <row r="517" spans="1:58" s="25" customFormat="1" x14ac:dyDescent="0.3">
      <c r="A517" s="19"/>
      <c r="B517" s="19"/>
      <c r="C517" s="50"/>
      <c r="D517" s="50"/>
      <c r="E517" s="50"/>
      <c r="F517" s="51"/>
      <c r="G517" s="57"/>
      <c r="H517" s="51"/>
      <c r="I517" s="52"/>
      <c r="J517" s="20"/>
      <c r="K517" s="21"/>
      <c r="L517" s="21"/>
      <c r="M517" s="46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59"/>
      <c r="AM517" s="23"/>
      <c r="AN517" s="23"/>
      <c r="AO517" s="24"/>
      <c r="AQ517" s="35"/>
      <c r="AR517" s="35"/>
      <c r="AS517" s="35"/>
      <c r="AT517" s="35"/>
      <c r="AU517" s="35"/>
      <c r="AV517" s="35"/>
      <c r="AW517" s="35"/>
      <c r="AX517" s="35"/>
      <c r="AY517" s="35"/>
      <c r="BA517" s="35"/>
      <c r="BC517" s="56"/>
      <c r="BD517" s="55"/>
      <c r="BF517" s="89"/>
    </row>
    <row r="518" spans="1:58" s="25" customFormat="1" x14ac:dyDescent="0.3">
      <c r="A518" s="19"/>
      <c r="B518" s="19"/>
      <c r="C518" s="50"/>
      <c r="D518" s="50"/>
      <c r="E518" s="50"/>
      <c r="F518" s="51"/>
      <c r="G518" s="57"/>
      <c r="H518" s="51"/>
      <c r="I518" s="52"/>
      <c r="J518" s="20"/>
      <c r="K518" s="21"/>
      <c r="L518" s="21"/>
      <c r="M518" s="46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59"/>
      <c r="AM518" s="23"/>
      <c r="AN518" s="23"/>
      <c r="AO518" s="24"/>
      <c r="AQ518" s="35"/>
      <c r="AR518" s="35"/>
      <c r="AS518" s="35"/>
      <c r="AT518" s="35"/>
      <c r="AU518" s="35"/>
      <c r="AV518" s="35"/>
      <c r="AW518" s="35"/>
      <c r="AX518" s="35"/>
      <c r="AY518" s="35"/>
      <c r="BA518" s="35"/>
      <c r="BC518" s="56"/>
      <c r="BD518" s="55"/>
      <c r="BF518" s="89"/>
    </row>
    <row r="519" spans="1:58" s="25" customFormat="1" x14ac:dyDescent="0.3">
      <c r="A519" s="19"/>
      <c r="B519" s="19"/>
      <c r="C519" s="50"/>
      <c r="D519" s="50"/>
      <c r="E519" s="50"/>
      <c r="F519" s="51"/>
      <c r="G519" s="57"/>
      <c r="H519" s="51"/>
      <c r="I519" s="52"/>
      <c r="J519" s="20"/>
      <c r="K519" s="21"/>
      <c r="L519" s="21"/>
      <c r="M519" s="46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59"/>
      <c r="AM519" s="23"/>
      <c r="AN519" s="23"/>
      <c r="AO519" s="24"/>
      <c r="AQ519" s="35"/>
      <c r="AR519" s="35"/>
      <c r="AS519" s="35"/>
      <c r="AT519" s="35"/>
      <c r="AU519" s="35"/>
      <c r="AV519" s="35"/>
      <c r="AW519" s="35"/>
      <c r="AX519" s="35"/>
      <c r="AY519" s="35"/>
      <c r="BA519" s="35"/>
      <c r="BC519" s="56"/>
      <c r="BD519" s="55"/>
      <c r="BF519" s="89"/>
    </row>
    <row r="520" spans="1:58" s="25" customFormat="1" x14ac:dyDescent="0.3">
      <c r="A520" s="19"/>
      <c r="B520" s="19"/>
      <c r="C520" s="50"/>
      <c r="D520" s="50"/>
      <c r="E520" s="50"/>
      <c r="F520" s="51"/>
      <c r="G520" s="57"/>
      <c r="H520" s="51"/>
      <c r="I520" s="52"/>
      <c r="J520" s="20"/>
      <c r="K520" s="21"/>
      <c r="L520" s="21"/>
      <c r="M520" s="46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59"/>
      <c r="AM520" s="23"/>
      <c r="AN520" s="23"/>
      <c r="AO520" s="24"/>
      <c r="AQ520" s="35"/>
      <c r="AR520" s="35"/>
      <c r="AS520" s="35"/>
      <c r="AT520" s="35"/>
      <c r="AU520" s="35"/>
      <c r="AV520" s="35"/>
      <c r="AW520" s="35"/>
      <c r="AX520" s="35"/>
      <c r="AY520" s="35"/>
      <c r="BA520" s="35"/>
      <c r="BC520" s="56"/>
      <c r="BD520" s="55"/>
      <c r="BF520" s="89"/>
    </row>
    <row r="521" spans="1:58" s="25" customFormat="1" x14ac:dyDescent="0.3">
      <c r="A521" s="19"/>
      <c r="B521" s="19"/>
      <c r="C521" s="50"/>
      <c r="D521" s="50"/>
      <c r="E521" s="50"/>
      <c r="F521" s="51"/>
      <c r="G521" s="57"/>
      <c r="H521" s="51"/>
      <c r="I521" s="52"/>
      <c r="J521" s="20"/>
      <c r="K521" s="21"/>
      <c r="L521" s="21"/>
      <c r="M521" s="46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59"/>
      <c r="AM521" s="23"/>
      <c r="AN521" s="23"/>
      <c r="AO521" s="24"/>
      <c r="AQ521" s="35"/>
      <c r="AR521" s="35"/>
      <c r="AS521" s="35"/>
      <c r="AT521" s="35"/>
      <c r="AU521" s="35"/>
      <c r="AV521" s="35"/>
      <c r="AW521" s="35"/>
      <c r="AX521" s="35"/>
      <c r="AY521" s="35"/>
      <c r="BA521" s="35"/>
      <c r="BC521" s="56"/>
      <c r="BD521" s="55"/>
      <c r="BF521" s="89"/>
    </row>
    <row r="522" spans="1:58" s="25" customFormat="1" x14ac:dyDescent="0.3">
      <c r="A522" s="19"/>
      <c r="B522" s="19"/>
      <c r="C522" s="50"/>
      <c r="D522" s="50"/>
      <c r="E522" s="50"/>
      <c r="F522" s="51"/>
      <c r="G522" s="57"/>
      <c r="H522" s="51"/>
      <c r="I522" s="52"/>
      <c r="J522" s="20"/>
      <c r="K522" s="21"/>
      <c r="L522" s="21"/>
      <c r="M522" s="46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59"/>
      <c r="AM522" s="23"/>
      <c r="AN522" s="23"/>
      <c r="AO522" s="24"/>
      <c r="AQ522" s="35"/>
      <c r="AR522" s="35"/>
      <c r="AS522" s="35"/>
      <c r="AT522" s="35"/>
      <c r="AU522" s="35"/>
      <c r="AV522" s="35"/>
      <c r="AW522" s="35"/>
      <c r="AX522" s="35"/>
      <c r="AY522" s="35"/>
      <c r="BA522" s="35"/>
      <c r="BC522" s="56"/>
      <c r="BD522" s="55"/>
      <c r="BF522" s="89"/>
    </row>
    <row r="523" spans="1:58" s="25" customFormat="1" x14ac:dyDescent="0.3">
      <c r="A523" s="19"/>
      <c r="B523" s="19"/>
      <c r="C523" s="50"/>
      <c r="D523" s="50"/>
      <c r="E523" s="50"/>
      <c r="F523" s="51"/>
      <c r="G523" s="57"/>
      <c r="H523" s="51"/>
      <c r="I523" s="52"/>
      <c r="J523" s="20"/>
      <c r="K523" s="21"/>
      <c r="L523" s="21"/>
      <c r="M523" s="46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59"/>
      <c r="AM523" s="23"/>
      <c r="AN523" s="23"/>
      <c r="AO523" s="24"/>
      <c r="AQ523" s="35"/>
      <c r="AR523" s="35"/>
      <c r="AS523" s="35"/>
      <c r="AT523" s="35"/>
      <c r="AU523" s="35"/>
      <c r="AV523" s="35"/>
      <c r="AW523" s="35"/>
      <c r="AX523" s="35"/>
      <c r="AY523" s="35"/>
      <c r="BA523" s="35"/>
      <c r="BC523" s="56"/>
      <c r="BD523" s="55"/>
      <c r="BF523" s="89"/>
    </row>
    <row r="524" spans="1:58" s="25" customFormat="1" x14ac:dyDescent="0.3">
      <c r="A524" s="19"/>
      <c r="B524" s="19"/>
      <c r="C524" s="50"/>
      <c r="D524" s="50"/>
      <c r="E524" s="50"/>
      <c r="F524" s="51"/>
      <c r="G524" s="57"/>
      <c r="H524" s="51"/>
      <c r="I524" s="52"/>
      <c r="J524" s="20"/>
      <c r="K524" s="21"/>
      <c r="L524" s="21"/>
      <c r="M524" s="46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59"/>
      <c r="AM524" s="23"/>
      <c r="AN524" s="23"/>
      <c r="AO524" s="24"/>
      <c r="AQ524" s="35"/>
      <c r="AR524" s="35"/>
      <c r="AS524" s="35"/>
      <c r="AT524" s="35"/>
      <c r="AU524" s="35"/>
      <c r="AV524" s="35"/>
      <c r="AW524" s="35"/>
      <c r="AX524" s="35"/>
      <c r="AY524" s="35"/>
      <c r="BA524" s="35"/>
      <c r="BC524" s="56"/>
      <c r="BD524" s="55"/>
      <c r="BF524" s="89"/>
    </row>
    <row r="525" spans="1:58" s="25" customFormat="1" x14ac:dyDescent="0.3">
      <c r="A525" s="19"/>
      <c r="B525" s="19"/>
      <c r="C525" s="50"/>
      <c r="D525" s="50"/>
      <c r="E525" s="50"/>
      <c r="F525" s="51"/>
      <c r="G525" s="57"/>
      <c r="H525" s="51"/>
      <c r="I525" s="52"/>
      <c r="J525" s="20"/>
      <c r="K525" s="21"/>
      <c r="L525" s="21"/>
      <c r="M525" s="46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59"/>
      <c r="AM525" s="23"/>
      <c r="AN525" s="23"/>
      <c r="AO525" s="24"/>
      <c r="AQ525" s="35"/>
      <c r="AR525" s="35"/>
      <c r="AS525" s="35"/>
      <c r="AT525" s="35"/>
      <c r="AU525" s="35"/>
      <c r="AV525" s="35"/>
      <c r="AW525" s="35"/>
      <c r="AX525" s="35"/>
      <c r="AY525" s="35"/>
      <c r="BA525" s="35"/>
      <c r="BC525" s="56"/>
      <c r="BD525" s="55"/>
      <c r="BF525" s="89"/>
    </row>
    <row r="526" spans="1:58" s="25" customFormat="1" x14ac:dyDescent="0.3">
      <c r="A526" s="19"/>
      <c r="B526" s="19"/>
      <c r="C526" s="50"/>
      <c r="D526" s="50"/>
      <c r="E526" s="50"/>
      <c r="F526" s="51"/>
      <c r="G526" s="57"/>
      <c r="H526" s="51"/>
      <c r="I526" s="52"/>
      <c r="J526" s="20"/>
      <c r="K526" s="21"/>
      <c r="L526" s="21"/>
      <c r="M526" s="46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59"/>
      <c r="AM526" s="23"/>
      <c r="AN526" s="23"/>
      <c r="AO526" s="24"/>
      <c r="AQ526" s="35"/>
      <c r="AR526" s="35"/>
      <c r="AS526" s="35"/>
      <c r="AT526" s="35"/>
      <c r="AU526" s="35"/>
      <c r="AV526" s="35"/>
      <c r="AW526" s="35"/>
      <c r="AX526" s="35"/>
      <c r="AY526" s="35"/>
      <c r="BA526" s="35"/>
      <c r="BC526" s="56"/>
      <c r="BD526" s="55"/>
      <c r="BF526" s="89"/>
    </row>
    <row r="527" spans="1:58" s="25" customFormat="1" x14ac:dyDescent="0.3">
      <c r="A527" s="19"/>
      <c r="B527" s="19"/>
      <c r="C527" s="50"/>
      <c r="D527" s="50"/>
      <c r="E527" s="50"/>
      <c r="F527" s="51"/>
      <c r="G527" s="57"/>
      <c r="H527" s="51"/>
      <c r="I527" s="52"/>
      <c r="J527" s="20"/>
      <c r="K527" s="21"/>
      <c r="L527" s="21"/>
      <c r="M527" s="46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59"/>
      <c r="AM527" s="23"/>
      <c r="AN527" s="23"/>
      <c r="AO527" s="24"/>
      <c r="AQ527" s="35"/>
      <c r="AR527" s="35"/>
      <c r="AS527" s="35"/>
      <c r="AT527" s="35"/>
      <c r="AU527" s="35"/>
      <c r="AV527" s="35"/>
      <c r="AW527" s="35"/>
      <c r="AX527" s="35"/>
      <c r="AY527" s="35"/>
      <c r="BA527" s="35"/>
      <c r="BC527" s="56"/>
      <c r="BD527" s="55"/>
      <c r="BF527" s="89"/>
    </row>
    <row r="528" spans="1:58" s="25" customFormat="1" x14ac:dyDescent="0.3">
      <c r="A528" s="19"/>
      <c r="B528" s="19"/>
      <c r="C528" s="50"/>
      <c r="D528" s="50"/>
      <c r="E528" s="50"/>
      <c r="F528" s="51"/>
      <c r="G528" s="57"/>
      <c r="H528" s="51"/>
      <c r="I528" s="52"/>
      <c r="J528" s="20"/>
      <c r="K528" s="21"/>
      <c r="L528" s="21"/>
      <c r="M528" s="46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59"/>
      <c r="AM528" s="23"/>
      <c r="AN528" s="23"/>
      <c r="AO528" s="24"/>
      <c r="AQ528" s="35"/>
      <c r="AR528" s="35"/>
      <c r="AS528" s="35"/>
      <c r="AT528" s="35"/>
      <c r="AU528" s="35"/>
      <c r="AV528" s="35"/>
      <c r="AW528" s="35"/>
      <c r="AX528" s="35"/>
      <c r="AY528" s="35"/>
      <c r="BA528" s="35"/>
      <c r="BC528" s="56"/>
      <c r="BD528" s="55"/>
      <c r="BF528" s="89"/>
    </row>
    <row r="529" spans="1:58" s="25" customFormat="1" x14ac:dyDescent="0.3">
      <c r="A529" s="19"/>
      <c r="B529" s="19"/>
      <c r="C529" s="50"/>
      <c r="D529" s="50"/>
      <c r="E529" s="50"/>
      <c r="F529" s="51"/>
      <c r="G529" s="57"/>
      <c r="H529" s="51"/>
      <c r="I529" s="52"/>
      <c r="J529" s="20"/>
      <c r="K529" s="21"/>
      <c r="L529" s="21"/>
      <c r="M529" s="46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59"/>
      <c r="AM529" s="23"/>
      <c r="AN529" s="23"/>
      <c r="AO529" s="24"/>
      <c r="AQ529" s="35"/>
      <c r="AR529" s="35"/>
      <c r="AS529" s="35"/>
      <c r="AT529" s="35"/>
      <c r="AU529" s="35"/>
      <c r="AV529" s="35"/>
      <c r="AW529" s="35"/>
      <c r="AX529" s="35"/>
      <c r="AY529" s="35"/>
      <c r="BA529" s="35"/>
      <c r="BC529" s="56"/>
      <c r="BD529" s="55"/>
      <c r="BF529" s="89"/>
    </row>
    <row r="530" spans="1:58" s="25" customFormat="1" x14ac:dyDescent="0.3">
      <c r="A530" s="19"/>
      <c r="B530" s="19"/>
      <c r="C530" s="50"/>
      <c r="D530" s="50"/>
      <c r="E530" s="50"/>
      <c r="F530" s="51"/>
      <c r="G530" s="57"/>
      <c r="H530" s="51"/>
      <c r="I530" s="52"/>
      <c r="J530" s="20"/>
      <c r="K530" s="21"/>
      <c r="L530" s="21"/>
      <c r="M530" s="46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59"/>
      <c r="AM530" s="23"/>
      <c r="AN530" s="23"/>
      <c r="AO530" s="24"/>
      <c r="AQ530" s="35"/>
      <c r="AR530" s="35"/>
      <c r="AS530" s="35"/>
      <c r="AT530" s="35"/>
      <c r="AU530" s="35"/>
      <c r="AV530" s="35"/>
      <c r="AW530" s="35"/>
      <c r="AX530" s="35"/>
      <c r="AY530" s="35"/>
      <c r="BA530" s="35"/>
      <c r="BC530" s="56"/>
      <c r="BD530" s="55"/>
      <c r="BF530" s="89"/>
    </row>
    <row r="531" spans="1:58" s="25" customFormat="1" x14ac:dyDescent="0.3">
      <c r="A531" s="19"/>
      <c r="B531" s="19"/>
      <c r="C531" s="50"/>
      <c r="D531" s="50"/>
      <c r="E531" s="50"/>
      <c r="F531" s="51"/>
      <c r="G531" s="57"/>
      <c r="H531" s="51"/>
      <c r="I531" s="52"/>
      <c r="J531" s="20"/>
      <c r="K531" s="21"/>
      <c r="L531" s="21"/>
      <c r="M531" s="46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59"/>
      <c r="AM531" s="23"/>
      <c r="AN531" s="23"/>
      <c r="AO531" s="24"/>
      <c r="AQ531" s="35"/>
      <c r="AR531" s="35"/>
      <c r="AS531" s="35"/>
      <c r="AT531" s="35"/>
      <c r="AU531" s="35"/>
      <c r="AV531" s="35"/>
      <c r="AW531" s="35"/>
      <c r="AX531" s="35"/>
      <c r="AY531" s="35"/>
      <c r="BA531" s="35"/>
      <c r="BC531" s="56"/>
      <c r="BD531" s="55"/>
      <c r="BF531" s="89"/>
    </row>
    <row r="532" spans="1:58" s="25" customFormat="1" x14ac:dyDescent="0.3">
      <c r="A532" s="19"/>
      <c r="B532" s="19"/>
      <c r="C532" s="50"/>
      <c r="D532" s="50"/>
      <c r="E532" s="50"/>
      <c r="F532" s="51"/>
      <c r="G532" s="57"/>
      <c r="H532" s="51"/>
      <c r="I532" s="52"/>
      <c r="J532" s="20"/>
      <c r="K532" s="21"/>
      <c r="L532" s="21"/>
      <c r="M532" s="46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59"/>
      <c r="AM532" s="23"/>
      <c r="AN532" s="23"/>
      <c r="AO532" s="24"/>
      <c r="AQ532" s="35"/>
      <c r="AR532" s="35"/>
      <c r="AS532" s="35"/>
      <c r="AT532" s="35"/>
      <c r="AU532" s="35"/>
      <c r="AV532" s="35"/>
      <c r="AW532" s="35"/>
      <c r="AX532" s="35"/>
      <c r="AY532" s="35"/>
      <c r="BA532" s="35"/>
      <c r="BC532" s="56"/>
      <c r="BD532" s="55"/>
      <c r="BF532" s="89"/>
    </row>
    <row r="533" spans="1:58" s="25" customFormat="1" x14ac:dyDescent="0.3">
      <c r="A533" s="19"/>
      <c r="B533" s="19"/>
      <c r="C533" s="50"/>
      <c r="D533" s="50"/>
      <c r="E533" s="50"/>
      <c r="F533" s="51"/>
      <c r="G533" s="57"/>
      <c r="H533" s="51"/>
      <c r="I533" s="52"/>
      <c r="J533" s="20"/>
      <c r="K533" s="21"/>
      <c r="L533" s="21"/>
      <c r="M533" s="46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59"/>
      <c r="AM533" s="23"/>
      <c r="AN533" s="23"/>
      <c r="AO533" s="24"/>
      <c r="AQ533" s="35"/>
      <c r="AR533" s="35"/>
      <c r="AS533" s="35"/>
      <c r="AT533" s="35"/>
      <c r="AU533" s="35"/>
      <c r="AV533" s="35"/>
      <c r="AW533" s="35"/>
      <c r="AX533" s="35"/>
      <c r="AY533" s="35"/>
      <c r="BA533" s="35"/>
      <c r="BC533" s="56"/>
      <c r="BD533" s="55"/>
      <c r="BF533" s="89"/>
    </row>
    <row r="534" spans="1:58" s="25" customFormat="1" x14ac:dyDescent="0.3">
      <c r="A534" s="19"/>
      <c r="B534" s="19"/>
      <c r="C534" s="50"/>
      <c r="D534" s="50"/>
      <c r="E534" s="50"/>
      <c r="F534" s="51"/>
      <c r="G534" s="57"/>
      <c r="H534" s="51"/>
      <c r="I534" s="52"/>
      <c r="J534" s="20"/>
      <c r="K534" s="21"/>
      <c r="L534" s="21"/>
      <c r="M534" s="46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59"/>
      <c r="AM534" s="23"/>
      <c r="AN534" s="23"/>
      <c r="AO534" s="24"/>
      <c r="AQ534" s="35"/>
      <c r="AR534" s="35"/>
      <c r="AS534" s="35"/>
      <c r="AT534" s="35"/>
      <c r="AU534" s="35"/>
      <c r="AV534" s="35"/>
      <c r="AW534" s="35"/>
      <c r="AX534" s="35"/>
      <c r="AY534" s="35"/>
      <c r="BA534" s="35"/>
      <c r="BC534" s="56"/>
      <c r="BD534" s="55"/>
      <c r="BF534" s="89"/>
    </row>
    <row r="535" spans="1:58" s="25" customFormat="1" x14ac:dyDescent="0.3">
      <c r="A535" s="19"/>
      <c r="B535" s="19"/>
      <c r="C535" s="50"/>
      <c r="D535" s="50"/>
      <c r="E535" s="50"/>
      <c r="F535" s="51"/>
      <c r="G535" s="57"/>
      <c r="H535" s="51"/>
      <c r="I535" s="52"/>
      <c r="J535" s="20"/>
      <c r="K535" s="21"/>
      <c r="L535" s="21"/>
      <c r="M535" s="46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59"/>
      <c r="AM535" s="23"/>
      <c r="AN535" s="23"/>
      <c r="AO535" s="24"/>
      <c r="AQ535" s="35"/>
      <c r="AR535" s="35"/>
      <c r="AS535" s="35"/>
      <c r="AT535" s="35"/>
      <c r="AU535" s="35"/>
      <c r="AV535" s="35"/>
      <c r="AW535" s="35"/>
      <c r="AX535" s="35"/>
      <c r="AY535" s="35"/>
      <c r="BA535" s="35"/>
      <c r="BC535" s="56"/>
      <c r="BD535" s="55"/>
      <c r="BF535" s="89"/>
    </row>
    <row r="536" spans="1:58" s="25" customFormat="1" x14ac:dyDescent="0.3">
      <c r="A536" s="19"/>
      <c r="B536" s="19"/>
      <c r="C536" s="50"/>
      <c r="D536" s="50"/>
      <c r="E536" s="50"/>
      <c r="F536" s="51"/>
      <c r="G536" s="57"/>
      <c r="H536" s="51"/>
      <c r="I536" s="52"/>
      <c r="J536" s="20"/>
      <c r="K536" s="21"/>
      <c r="L536" s="21"/>
      <c r="M536" s="46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59"/>
      <c r="AM536" s="23"/>
      <c r="AN536" s="23"/>
      <c r="AO536" s="24"/>
      <c r="AQ536" s="35"/>
      <c r="AR536" s="35"/>
      <c r="AS536" s="35"/>
      <c r="AT536" s="35"/>
      <c r="AU536" s="35"/>
      <c r="AV536" s="35"/>
      <c r="AW536" s="35"/>
      <c r="AX536" s="35"/>
      <c r="AY536" s="35"/>
      <c r="BA536" s="35"/>
      <c r="BC536" s="56"/>
      <c r="BD536" s="55"/>
      <c r="BF536" s="89"/>
    </row>
    <row r="537" spans="1:58" s="25" customFormat="1" x14ac:dyDescent="0.3">
      <c r="A537" s="19"/>
      <c r="B537" s="19"/>
      <c r="C537" s="50"/>
      <c r="D537" s="50"/>
      <c r="E537" s="50"/>
      <c r="F537" s="51"/>
      <c r="G537" s="57"/>
      <c r="H537" s="51"/>
      <c r="I537" s="52"/>
      <c r="J537" s="20"/>
      <c r="K537" s="21"/>
      <c r="L537" s="21"/>
      <c r="M537" s="46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59"/>
      <c r="AM537" s="23"/>
      <c r="AN537" s="23"/>
      <c r="AO537" s="24"/>
      <c r="AQ537" s="35"/>
      <c r="AR537" s="35"/>
      <c r="AS537" s="35"/>
      <c r="AT537" s="35"/>
      <c r="AU537" s="35"/>
      <c r="AV537" s="35"/>
      <c r="AW537" s="35"/>
      <c r="AX537" s="35"/>
      <c r="AY537" s="35"/>
      <c r="BA537" s="35"/>
      <c r="BC537" s="56"/>
      <c r="BD537" s="55"/>
      <c r="BF537" s="89"/>
    </row>
    <row r="538" spans="1:58" s="25" customFormat="1" x14ac:dyDescent="0.3">
      <c r="A538" s="19"/>
      <c r="B538" s="19"/>
      <c r="C538" s="50"/>
      <c r="D538" s="50"/>
      <c r="E538" s="50"/>
      <c r="F538" s="51"/>
      <c r="G538" s="57"/>
      <c r="H538" s="51"/>
      <c r="I538" s="52"/>
      <c r="J538" s="20"/>
      <c r="K538" s="21"/>
      <c r="L538" s="21"/>
      <c r="M538" s="46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59"/>
      <c r="AM538" s="23"/>
      <c r="AN538" s="23"/>
      <c r="AO538" s="24"/>
      <c r="AQ538" s="35"/>
      <c r="AR538" s="35"/>
      <c r="AS538" s="35"/>
      <c r="AT538" s="35"/>
      <c r="AU538" s="35"/>
      <c r="AV538" s="35"/>
      <c r="AW538" s="35"/>
      <c r="AX538" s="35"/>
      <c r="AY538" s="35"/>
      <c r="BA538" s="35"/>
      <c r="BC538" s="56"/>
      <c r="BD538" s="55"/>
      <c r="BF538" s="89"/>
    </row>
    <row r="539" spans="1:58" s="25" customFormat="1" x14ac:dyDescent="0.3">
      <c r="A539" s="19"/>
      <c r="B539" s="19"/>
      <c r="C539" s="50"/>
      <c r="D539" s="50"/>
      <c r="E539" s="50"/>
      <c r="F539" s="51"/>
      <c r="G539" s="57"/>
      <c r="H539" s="51"/>
      <c r="I539" s="52"/>
      <c r="J539" s="20"/>
      <c r="K539" s="21"/>
      <c r="L539" s="21"/>
      <c r="M539" s="46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59"/>
      <c r="AM539" s="23"/>
      <c r="AN539" s="23"/>
      <c r="AO539" s="24"/>
      <c r="AQ539" s="35"/>
      <c r="AR539" s="35"/>
      <c r="AS539" s="35"/>
      <c r="AT539" s="35"/>
      <c r="AU539" s="35"/>
      <c r="AV539" s="35"/>
      <c r="AW539" s="35"/>
      <c r="AX539" s="35"/>
      <c r="AY539" s="35"/>
      <c r="BA539" s="35"/>
      <c r="BC539" s="56"/>
      <c r="BD539" s="55"/>
      <c r="BF539" s="89"/>
    </row>
    <row r="540" spans="1:58" s="25" customFormat="1" x14ac:dyDescent="0.3">
      <c r="A540" s="19"/>
      <c r="B540" s="19"/>
      <c r="C540" s="50"/>
      <c r="D540" s="50"/>
      <c r="E540" s="50"/>
      <c r="F540" s="51"/>
      <c r="G540" s="57"/>
      <c r="H540" s="51"/>
      <c r="I540" s="52"/>
      <c r="J540" s="20"/>
      <c r="K540" s="21"/>
      <c r="L540" s="21"/>
      <c r="M540" s="46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59"/>
      <c r="AM540" s="23"/>
      <c r="AN540" s="23"/>
      <c r="AO540" s="24"/>
      <c r="AQ540" s="35"/>
      <c r="AR540" s="35"/>
      <c r="AS540" s="35"/>
      <c r="AT540" s="35"/>
      <c r="AU540" s="35"/>
      <c r="AV540" s="35"/>
      <c r="AW540" s="35"/>
      <c r="AX540" s="35"/>
      <c r="AY540" s="35"/>
      <c r="BA540" s="35"/>
      <c r="BC540" s="56"/>
      <c r="BD540" s="55"/>
      <c r="BF540" s="89"/>
    </row>
    <row r="541" spans="1:58" s="25" customFormat="1" x14ac:dyDescent="0.3">
      <c r="A541" s="19"/>
      <c r="B541" s="19"/>
      <c r="C541" s="50"/>
      <c r="D541" s="50"/>
      <c r="E541" s="50"/>
      <c r="F541" s="51"/>
      <c r="G541" s="57"/>
      <c r="H541" s="51"/>
      <c r="I541" s="52"/>
      <c r="J541" s="20"/>
      <c r="K541" s="21"/>
      <c r="L541" s="21"/>
      <c r="M541" s="46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59"/>
      <c r="AM541" s="23"/>
      <c r="AN541" s="23"/>
      <c r="AO541" s="24"/>
      <c r="AQ541" s="35"/>
      <c r="AR541" s="35"/>
      <c r="AS541" s="35"/>
      <c r="AT541" s="35"/>
      <c r="AU541" s="35"/>
      <c r="AV541" s="35"/>
      <c r="AW541" s="35"/>
      <c r="AX541" s="35"/>
      <c r="AY541" s="35"/>
      <c r="BA541" s="35"/>
      <c r="BC541" s="56"/>
      <c r="BD541" s="55"/>
      <c r="BF541" s="89"/>
    </row>
    <row r="542" spans="1:58" s="25" customFormat="1" x14ac:dyDescent="0.3">
      <c r="A542" s="19"/>
      <c r="B542" s="19"/>
      <c r="C542" s="50"/>
      <c r="D542" s="50"/>
      <c r="E542" s="50"/>
      <c r="F542" s="51"/>
      <c r="G542" s="57"/>
      <c r="H542" s="51"/>
      <c r="I542" s="52"/>
      <c r="J542" s="20"/>
      <c r="K542" s="21"/>
      <c r="L542" s="21"/>
      <c r="M542" s="46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59"/>
      <c r="AM542" s="23"/>
      <c r="AN542" s="23"/>
      <c r="AO542" s="24"/>
      <c r="AQ542" s="35"/>
      <c r="AR542" s="35"/>
      <c r="AS542" s="35"/>
      <c r="AT542" s="35"/>
      <c r="AU542" s="35"/>
      <c r="AV542" s="35"/>
      <c r="AW542" s="35"/>
      <c r="AX542" s="35"/>
      <c r="AY542" s="35"/>
      <c r="BA542" s="35"/>
      <c r="BC542" s="56"/>
      <c r="BD542" s="55"/>
      <c r="BF542" s="89"/>
    </row>
    <row r="543" spans="1:58" s="25" customFormat="1" x14ac:dyDescent="0.3">
      <c r="A543" s="19"/>
      <c r="B543" s="19"/>
      <c r="C543" s="50"/>
      <c r="D543" s="50"/>
      <c r="E543" s="50"/>
      <c r="F543" s="51"/>
      <c r="G543" s="57"/>
      <c r="H543" s="51"/>
      <c r="I543" s="52"/>
      <c r="J543" s="20"/>
      <c r="K543" s="21"/>
      <c r="L543" s="21"/>
      <c r="M543" s="46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59"/>
      <c r="AM543" s="23"/>
      <c r="AN543" s="23"/>
      <c r="AO543" s="24"/>
      <c r="AQ543" s="35"/>
      <c r="AR543" s="35"/>
      <c r="AS543" s="35"/>
      <c r="AT543" s="35"/>
      <c r="AU543" s="35"/>
      <c r="AV543" s="35"/>
      <c r="AW543" s="35"/>
      <c r="AX543" s="35"/>
      <c r="AY543" s="35"/>
      <c r="BA543" s="35"/>
      <c r="BC543" s="56"/>
      <c r="BD543" s="55"/>
      <c r="BF543" s="89"/>
    </row>
    <row r="544" spans="1:58" s="25" customFormat="1" x14ac:dyDescent="0.3">
      <c r="A544" s="19"/>
      <c r="B544" s="19"/>
      <c r="C544" s="50"/>
      <c r="D544" s="50"/>
      <c r="E544" s="50"/>
      <c r="F544" s="51"/>
      <c r="G544" s="57"/>
      <c r="H544" s="51"/>
      <c r="I544" s="52"/>
      <c r="J544" s="20"/>
      <c r="K544" s="21"/>
      <c r="L544" s="21"/>
      <c r="M544" s="46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59"/>
      <c r="AM544" s="23"/>
      <c r="AN544" s="23"/>
      <c r="AO544" s="24"/>
      <c r="AQ544" s="35"/>
      <c r="AR544" s="35"/>
      <c r="AS544" s="35"/>
      <c r="AT544" s="35"/>
      <c r="AU544" s="35"/>
      <c r="AV544" s="35"/>
      <c r="AW544" s="35"/>
      <c r="AX544" s="35"/>
      <c r="AY544" s="35"/>
      <c r="BA544" s="35"/>
      <c r="BC544" s="56"/>
      <c r="BD544" s="55"/>
      <c r="BF544" s="89"/>
    </row>
    <row r="545" spans="1:58" s="25" customFormat="1" x14ac:dyDescent="0.3">
      <c r="A545" s="19"/>
      <c r="B545" s="19"/>
      <c r="C545" s="50"/>
      <c r="D545" s="50"/>
      <c r="E545" s="50"/>
      <c r="F545" s="51"/>
      <c r="G545" s="57"/>
      <c r="H545" s="51"/>
      <c r="I545" s="52"/>
      <c r="J545" s="20"/>
      <c r="K545" s="21"/>
      <c r="L545" s="21"/>
      <c r="M545" s="46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59"/>
      <c r="AM545" s="23"/>
      <c r="AN545" s="23"/>
      <c r="AO545" s="24"/>
      <c r="AQ545" s="35"/>
      <c r="AR545" s="35"/>
      <c r="AS545" s="35"/>
      <c r="AT545" s="35"/>
      <c r="AU545" s="35"/>
      <c r="AV545" s="35"/>
      <c r="AW545" s="35"/>
      <c r="AX545" s="35"/>
      <c r="AY545" s="35"/>
      <c r="BA545" s="35"/>
      <c r="BC545" s="56"/>
      <c r="BD545" s="55"/>
      <c r="BF545" s="89"/>
    </row>
    <row r="546" spans="1:58" s="25" customFormat="1" x14ac:dyDescent="0.3">
      <c r="A546" s="19"/>
      <c r="B546" s="19"/>
      <c r="C546" s="50"/>
      <c r="D546" s="50"/>
      <c r="E546" s="50"/>
      <c r="F546" s="51"/>
      <c r="G546" s="57"/>
      <c r="H546" s="51"/>
      <c r="I546" s="52"/>
      <c r="J546" s="20"/>
      <c r="K546" s="21"/>
      <c r="L546" s="21"/>
      <c r="M546" s="46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59"/>
      <c r="AM546" s="23"/>
      <c r="AN546" s="23"/>
      <c r="AO546" s="24"/>
      <c r="AQ546" s="35"/>
      <c r="AR546" s="35"/>
      <c r="AS546" s="35"/>
      <c r="AT546" s="35"/>
      <c r="AU546" s="35"/>
      <c r="AV546" s="35"/>
      <c r="AW546" s="35"/>
      <c r="AX546" s="35"/>
      <c r="AY546" s="35"/>
      <c r="BA546" s="35"/>
      <c r="BC546" s="56"/>
      <c r="BD546" s="55"/>
      <c r="BF546" s="89"/>
    </row>
    <row r="547" spans="1:58" s="25" customFormat="1" x14ac:dyDescent="0.3">
      <c r="A547" s="19"/>
      <c r="B547" s="19"/>
      <c r="C547" s="50"/>
      <c r="D547" s="50"/>
      <c r="E547" s="50"/>
      <c r="F547" s="51"/>
      <c r="G547" s="57"/>
      <c r="H547" s="51"/>
      <c r="I547" s="52"/>
      <c r="J547" s="20"/>
      <c r="K547" s="21"/>
      <c r="L547" s="21"/>
      <c r="M547" s="46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59"/>
      <c r="AM547" s="23"/>
      <c r="AN547" s="23"/>
      <c r="AO547" s="24"/>
      <c r="AQ547" s="35"/>
      <c r="AR547" s="35"/>
      <c r="AS547" s="35"/>
      <c r="AT547" s="35"/>
      <c r="AU547" s="35"/>
      <c r="AV547" s="35"/>
      <c r="AW547" s="35"/>
      <c r="AX547" s="35"/>
      <c r="AY547" s="35"/>
      <c r="BA547" s="35"/>
      <c r="BC547" s="56"/>
      <c r="BD547" s="55"/>
      <c r="BF547" s="89"/>
    </row>
    <row r="548" spans="1:58" s="25" customFormat="1" x14ac:dyDescent="0.3">
      <c r="A548" s="19"/>
      <c r="B548" s="19"/>
      <c r="C548" s="50"/>
      <c r="D548" s="50"/>
      <c r="E548" s="50"/>
      <c r="F548" s="51"/>
      <c r="G548" s="57"/>
      <c r="H548" s="51"/>
      <c r="I548" s="52"/>
      <c r="J548" s="20"/>
      <c r="K548" s="21"/>
      <c r="L548" s="21"/>
      <c r="M548" s="46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59"/>
      <c r="AM548" s="23"/>
      <c r="AN548" s="23"/>
      <c r="AO548" s="24"/>
      <c r="AQ548" s="35"/>
      <c r="AR548" s="35"/>
      <c r="AS548" s="35"/>
      <c r="AT548" s="35"/>
      <c r="AU548" s="35"/>
      <c r="AV548" s="35"/>
      <c r="AW548" s="35"/>
      <c r="AX548" s="35"/>
      <c r="AY548" s="35"/>
      <c r="BA548" s="35"/>
      <c r="BC548" s="56"/>
      <c r="BD548" s="55"/>
      <c r="BF548" s="89"/>
    </row>
    <row r="549" spans="1:58" s="25" customFormat="1" x14ac:dyDescent="0.3">
      <c r="A549" s="19"/>
      <c r="B549" s="19"/>
      <c r="C549" s="50"/>
      <c r="D549" s="50"/>
      <c r="E549" s="50"/>
      <c r="F549" s="51"/>
      <c r="G549" s="57"/>
      <c r="H549" s="51"/>
      <c r="I549" s="52"/>
      <c r="J549" s="20"/>
      <c r="K549" s="21"/>
      <c r="L549" s="21"/>
      <c r="M549" s="46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59"/>
      <c r="AM549" s="23"/>
      <c r="AN549" s="23"/>
      <c r="AO549" s="24"/>
      <c r="AQ549" s="35"/>
      <c r="AR549" s="35"/>
      <c r="AS549" s="35"/>
      <c r="AT549" s="35"/>
      <c r="AU549" s="35"/>
      <c r="AV549" s="35"/>
      <c r="AW549" s="35"/>
      <c r="AX549" s="35"/>
      <c r="AY549" s="35"/>
      <c r="BA549" s="35"/>
      <c r="BC549" s="56"/>
      <c r="BD549" s="55"/>
      <c r="BF549" s="89"/>
    </row>
    <row r="550" spans="1:58" s="25" customFormat="1" x14ac:dyDescent="0.3">
      <c r="A550" s="19"/>
      <c r="B550" s="19"/>
      <c r="C550" s="50"/>
      <c r="D550" s="50"/>
      <c r="E550" s="50"/>
      <c r="F550" s="51"/>
      <c r="G550" s="57"/>
      <c r="H550" s="51"/>
      <c r="I550" s="52"/>
      <c r="J550" s="20"/>
      <c r="K550" s="21"/>
      <c r="L550" s="21"/>
      <c r="M550" s="46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59"/>
      <c r="AM550" s="23"/>
      <c r="AN550" s="23"/>
      <c r="AO550" s="24"/>
      <c r="AQ550" s="35"/>
      <c r="AR550" s="35"/>
      <c r="AS550" s="35"/>
      <c r="AT550" s="35"/>
      <c r="AU550" s="35"/>
      <c r="AV550" s="35"/>
      <c r="AW550" s="35"/>
      <c r="AX550" s="35"/>
      <c r="AY550" s="35"/>
      <c r="BA550" s="35"/>
      <c r="BC550" s="56"/>
      <c r="BD550" s="55"/>
      <c r="BF550" s="89"/>
    </row>
    <row r="551" spans="1:58" s="25" customFormat="1" x14ac:dyDescent="0.3">
      <c r="A551" s="19"/>
      <c r="B551" s="19"/>
      <c r="C551" s="50"/>
      <c r="D551" s="50"/>
      <c r="E551" s="50"/>
      <c r="F551" s="51"/>
      <c r="G551" s="57"/>
      <c r="H551" s="51"/>
      <c r="I551" s="52"/>
      <c r="J551" s="20"/>
      <c r="K551" s="21"/>
      <c r="L551" s="21"/>
      <c r="M551" s="46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59"/>
      <c r="AM551" s="23"/>
      <c r="AN551" s="23"/>
      <c r="AO551" s="24"/>
      <c r="AQ551" s="35"/>
      <c r="AR551" s="35"/>
      <c r="AS551" s="35"/>
      <c r="AT551" s="35"/>
      <c r="AU551" s="35"/>
      <c r="AV551" s="35"/>
      <c r="AW551" s="35"/>
      <c r="AX551" s="35"/>
      <c r="AY551" s="35"/>
      <c r="BA551" s="35"/>
      <c r="BC551" s="56"/>
      <c r="BD551" s="55"/>
      <c r="BF551" s="89"/>
    </row>
    <row r="552" spans="1:58" s="25" customFormat="1" x14ac:dyDescent="0.3">
      <c r="A552" s="19"/>
      <c r="B552" s="19"/>
      <c r="C552" s="50"/>
      <c r="D552" s="50"/>
      <c r="E552" s="50"/>
      <c r="F552" s="51"/>
      <c r="G552" s="57"/>
      <c r="H552" s="51"/>
      <c r="I552" s="52"/>
      <c r="J552" s="20"/>
      <c r="K552" s="21"/>
      <c r="L552" s="21"/>
      <c r="M552" s="46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59"/>
      <c r="AM552" s="23"/>
      <c r="AN552" s="23"/>
      <c r="AO552" s="24"/>
      <c r="AQ552" s="35"/>
      <c r="AR552" s="35"/>
      <c r="AS552" s="35"/>
      <c r="AT552" s="35"/>
      <c r="AU552" s="35"/>
      <c r="AV552" s="35"/>
      <c r="AW552" s="35"/>
      <c r="AX552" s="35"/>
      <c r="AY552" s="35"/>
      <c r="BA552" s="35"/>
      <c r="BC552" s="56"/>
      <c r="BD552" s="55"/>
      <c r="BF552" s="89"/>
    </row>
    <row r="553" spans="1:58" s="25" customFormat="1" x14ac:dyDescent="0.3">
      <c r="A553" s="19"/>
      <c r="B553" s="19"/>
      <c r="C553" s="50"/>
      <c r="D553" s="50"/>
      <c r="E553" s="50"/>
      <c r="F553" s="51"/>
      <c r="G553" s="57"/>
      <c r="H553" s="51"/>
      <c r="I553" s="52"/>
      <c r="J553" s="20"/>
      <c r="K553" s="21"/>
      <c r="L553" s="21"/>
      <c r="M553" s="46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59"/>
      <c r="AM553" s="23"/>
      <c r="AN553" s="23"/>
      <c r="AO553" s="24"/>
      <c r="AQ553" s="35"/>
      <c r="AR553" s="35"/>
      <c r="AS553" s="35"/>
      <c r="AT553" s="35"/>
      <c r="AU553" s="35"/>
      <c r="AV553" s="35"/>
      <c r="AW553" s="35"/>
      <c r="AX553" s="35"/>
      <c r="AY553" s="35"/>
      <c r="BA553" s="35"/>
      <c r="BC553" s="56"/>
      <c r="BD553" s="55"/>
      <c r="BF553" s="89"/>
    </row>
    <row r="554" spans="1:58" s="25" customFormat="1" x14ac:dyDescent="0.3">
      <c r="A554" s="19"/>
      <c r="B554" s="19"/>
      <c r="C554" s="50"/>
      <c r="D554" s="50"/>
      <c r="E554" s="50"/>
      <c r="F554" s="51"/>
      <c r="G554" s="57"/>
      <c r="H554" s="51"/>
      <c r="I554" s="52"/>
      <c r="J554" s="20"/>
      <c r="K554" s="21"/>
      <c r="L554" s="21"/>
      <c r="M554" s="46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59"/>
      <c r="AM554" s="23"/>
      <c r="AN554" s="23"/>
      <c r="AO554" s="24"/>
      <c r="AQ554" s="35"/>
      <c r="AR554" s="35"/>
      <c r="AS554" s="35"/>
      <c r="AT554" s="35"/>
      <c r="AU554" s="35"/>
      <c r="AV554" s="35"/>
      <c r="AW554" s="35"/>
      <c r="AX554" s="35"/>
      <c r="AY554" s="35"/>
      <c r="BA554" s="35"/>
      <c r="BC554" s="56"/>
      <c r="BD554" s="55"/>
      <c r="BF554" s="89"/>
    </row>
    <row r="555" spans="1:58" s="25" customFormat="1" x14ac:dyDescent="0.3">
      <c r="A555" s="19"/>
      <c r="B555" s="19"/>
      <c r="C555" s="50"/>
      <c r="D555" s="50"/>
      <c r="E555" s="50"/>
      <c r="F555" s="51"/>
      <c r="G555" s="57"/>
      <c r="H555" s="51"/>
      <c r="I555" s="52"/>
      <c r="J555" s="20"/>
      <c r="K555" s="21"/>
      <c r="L555" s="21"/>
      <c r="M555" s="46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59"/>
      <c r="AM555" s="23"/>
      <c r="AN555" s="23"/>
      <c r="AO555" s="24"/>
      <c r="AQ555" s="35"/>
      <c r="AR555" s="35"/>
      <c r="AS555" s="35"/>
      <c r="AT555" s="35"/>
      <c r="AU555" s="35"/>
      <c r="AV555" s="35"/>
      <c r="AW555" s="35"/>
      <c r="AX555" s="35"/>
      <c r="AY555" s="35"/>
      <c r="BA555" s="35"/>
      <c r="BC555" s="56"/>
      <c r="BD555" s="55"/>
      <c r="BF555" s="89"/>
    </row>
    <row r="556" spans="1:58" s="25" customFormat="1" x14ac:dyDescent="0.3">
      <c r="A556" s="19"/>
      <c r="B556" s="19"/>
      <c r="C556" s="50"/>
      <c r="D556" s="50"/>
      <c r="E556" s="50"/>
      <c r="F556" s="51"/>
      <c r="G556" s="57"/>
      <c r="H556" s="51"/>
      <c r="I556" s="52"/>
      <c r="J556" s="20"/>
      <c r="K556" s="21"/>
      <c r="L556" s="21"/>
      <c r="M556" s="46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59"/>
      <c r="AM556" s="23"/>
      <c r="AN556" s="23"/>
      <c r="AO556" s="24"/>
      <c r="AQ556" s="35"/>
      <c r="AR556" s="35"/>
      <c r="AS556" s="35"/>
      <c r="AT556" s="35"/>
      <c r="AU556" s="35"/>
      <c r="AV556" s="35"/>
      <c r="AW556" s="35"/>
      <c r="AX556" s="35"/>
      <c r="AY556" s="35"/>
      <c r="BA556" s="35"/>
      <c r="BC556" s="56"/>
      <c r="BD556" s="55"/>
      <c r="BF556" s="89"/>
    </row>
    <row r="557" spans="1:58" s="25" customFormat="1" x14ac:dyDescent="0.3">
      <c r="A557" s="19"/>
      <c r="B557" s="66"/>
      <c r="C557" s="67"/>
      <c r="D557" s="67"/>
      <c r="E557" s="43"/>
      <c r="F557" s="44"/>
      <c r="G557" s="58"/>
      <c r="H557" s="44"/>
      <c r="I557" s="45"/>
      <c r="J557" s="68"/>
      <c r="K557" s="69"/>
      <c r="L557" s="69"/>
      <c r="M557" s="70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80"/>
      <c r="AM557" s="81"/>
      <c r="AN557" s="81"/>
      <c r="AO557" s="82"/>
      <c r="AP557" s="54"/>
      <c r="AQ557" s="71"/>
      <c r="AR557" s="71"/>
      <c r="AS557" s="72"/>
      <c r="AT557" s="71"/>
      <c r="AU557" s="71"/>
      <c r="AV557" s="71"/>
      <c r="AW557" s="71"/>
      <c r="AX557" s="71"/>
      <c r="AY557" s="71"/>
      <c r="AZ557" s="54"/>
      <c r="BA557" s="71"/>
      <c r="BB557" s="54"/>
      <c r="BC557" s="73"/>
      <c r="BD557" s="71"/>
      <c r="BF557" s="89"/>
    </row>
    <row r="558" spans="1:58" s="25" customFormat="1" x14ac:dyDescent="0.3">
      <c r="A558" s="19"/>
      <c r="B558" s="74"/>
      <c r="C558" s="75"/>
      <c r="D558" s="75"/>
      <c r="E558" s="50"/>
      <c r="F558" s="51"/>
      <c r="G558" s="57"/>
      <c r="H558" s="51"/>
      <c r="I558" s="52"/>
      <c r="J558" s="76"/>
      <c r="K558" s="77"/>
      <c r="L558" s="77"/>
      <c r="M558" s="78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80"/>
      <c r="AM558" s="81"/>
      <c r="AN558" s="81"/>
      <c r="AO558" s="82"/>
      <c r="AP558" s="54"/>
      <c r="AQ558" s="71"/>
      <c r="AR558" s="71"/>
      <c r="AS558" s="71"/>
      <c r="AT558" s="71"/>
      <c r="AU558" s="71"/>
      <c r="AV558" s="71"/>
      <c r="AW558" s="71"/>
      <c r="AX558" s="71"/>
      <c r="AY558" s="71"/>
      <c r="AZ558" s="54"/>
      <c r="BA558" s="71"/>
      <c r="BB558" s="54"/>
      <c r="BC558" s="73"/>
      <c r="BD558" s="71"/>
      <c r="BF558" s="89"/>
    </row>
    <row r="559" spans="1:58" s="25" customFormat="1" x14ac:dyDescent="0.3">
      <c r="A559" s="19"/>
      <c r="B559" s="74"/>
      <c r="C559" s="75"/>
      <c r="D559" s="75"/>
      <c r="E559" s="50"/>
      <c r="F559" s="51"/>
      <c r="G559" s="57"/>
      <c r="H559" s="51"/>
      <c r="I559" s="52"/>
      <c r="J559" s="76"/>
      <c r="K559" s="77"/>
      <c r="L559" s="77"/>
      <c r="M559" s="78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80"/>
      <c r="AM559" s="81"/>
      <c r="AN559" s="81"/>
      <c r="AO559" s="82"/>
      <c r="AP559" s="54"/>
      <c r="AQ559" s="71"/>
      <c r="AR559" s="71"/>
      <c r="AS559" s="71"/>
      <c r="AT559" s="71"/>
      <c r="AU559" s="71"/>
      <c r="AV559" s="71"/>
      <c r="AW559" s="71"/>
      <c r="AX559" s="71"/>
      <c r="AY559" s="71"/>
      <c r="AZ559" s="54"/>
      <c r="BA559" s="71"/>
      <c r="BB559" s="54"/>
      <c r="BC559" s="73"/>
      <c r="BD559" s="71"/>
      <c r="BF559" s="89"/>
    </row>
    <row r="560" spans="1:58" s="25" customFormat="1" x14ac:dyDescent="0.3">
      <c r="A560" s="19"/>
      <c r="B560" s="74"/>
      <c r="C560" s="75"/>
      <c r="D560" s="75"/>
      <c r="E560" s="50"/>
      <c r="F560" s="51"/>
      <c r="G560" s="57"/>
      <c r="H560" s="51"/>
      <c r="I560" s="52"/>
      <c r="J560" s="76"/>
      <c r="K560" s="77"/>
      <c r="L560" s="77"/>
      <c r="M560" s="78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80"/>
      <c r="AM560" s="81"/>
      <c r="AN560" s="81"/>
      <c r="AO560" s="82"/>
      <c r="AP560" s="54"/>
      <c r="AQ560" s="71"/>
      <c r="AR560" s="71"/>
      <c r="AS560" s="71"/>
      <c r="AT560" s="71"/>
      <c r="AU560" s="71"/>
      <c r="AV560" s="71"/>
      <c r="AW560" s="71"/>
      <c r="AX560" s="71"/>
      <c r="AY560" s="71"/>
      <c r="AZ560" s="54"/>
      <c r="BA560" s="71"/>
      <c r="BB560" s="54"/>
      <c r="BC560" s="73"/>
      <c r="BD560" s="71"/>
      <c r="BF560" s="89"/>
    </row>
    <row r="561" spans="1:58" s="25" customFormat="1" x14ac:dyDescent="0.3">
      <c r="A561" s="19"/>
      <c r="B561" s="74"/>
      <c r="C561" s="75"/>
      <c r="D561" s="75"/>
      <c r="E561" s="50"/>
      <c r="F561" s="51"/>
      <c r="G561" s="57"/>
      <c r="H561" s="51"/>
      <c r="I561" s="52"/>
      <c r="J561" s="76"/>
      <c r="K561" s="77"/>
      <c r="L561" s="77"/>
      <c r="M561" s="78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80"/>
      <c r="AM561" s="81"/>
      <c r="AN561" s="81"/>
      <c r="AO561" s="82"/>
      <c r="AP561" s="54"/>
      <c r="AQ561" s="71"/>
      <c r="AR561" s="71"/>
      <c r="AS561" s="72"/>
      <c r="AT561" s="71"/>
      <c r="AU561" s="71"/>
      <c r="AV561" s="71"/>
      <c r="AW561" s="71"/>
      <c r="AX561" s="71"/>
      <c r="AY561" s="71"/>
      <c r="AZ561" s="54"/>
      <c r="BA561" s="71"/>
      <c r="BB561" s="54"/>
      <c r="BC561" s="73"/>
      <c r="BD561" s="71"/>
      <c r="BF561" s="89"/>
    </row>
    <row r="562" spans="1:58" s="25" customFormat="1" x14ac:dyDescent="0.3">
      <c r="A562" s="19"/>
      <c r="B562" s="74"/>
      <c r="C562" s="75"/>
      <c r="D562" s="75"/>
      <c r="E562" s="50"/>
      <c r="F562" s="51"/>
      <c r="G562" s="57"/>
      <c r="H562" s="51"/>
      <c r="I562" s="52"/>
      <c r="J562" s="76"/>
      <c r="K562" s="77"/>
      <c r="L562" s="77"/>
      <c r="M562" s="78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80"/>
      <c r="AM562" s="81"/>
      <c r="AN562" s="81"/>
      <c r="AO562" s="82"/>
      <c r="AP562" s="54"/>
      <c r="AQ562" s="71"/>
      <c r="AR562" s="71"/>
      <c r="AS562" s="71"/>
      <c r="AT562" s="71"/>
      <c r="AU562" s="71"/>
      <c r="AV562" s="71"/>
      <c r="AW562" s="71"/>
      <c r="AX562" s="71"/>
      <c r="AY562" s="71"/>
      <c r="AZ562" s="54"/>
      <c r="BA562" s="71"/>
      <c r="BB562" s="54"/>
      <c r="BC562" s="73"/>
      <c r="BD562" s="71"/>
      <c r="BF562" s="89"/>
    </row>
    <row r="563" spans="1:58" s="25" customFormat="1" x14ac:dyDescent="0.3">
      <c r="A563" s="19"/>
      <c r="B563" s="74"/>
      <c r="C563" s="75"/>
      <c r="D563" s="75"/>
      <c r="E563" s="50"/>
      <c r="F563" s="51"/>
      <c r="G563" s="57"/>
      <c r="H563" s="51"/>
      <c r="I563" s="52"/>
      <c r="J563" s="76"/>
      <c r="K563" s="77"/>
      <c r="L563" s="77"/>
      <c r="M563" s="78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80"/>
      <c r="AM563" s="81"/>
      <c r="AN563" s="81"/>
      <c r="AO563" s="82"/>
      <c r="AP563" s="54"/>
      <c r="AQ563" s="71"/>
      <c r="AR563" s="71"/>
      <c r="AS563" s="71"/>
      <c r="AT563" s="71"/>
      <c r="AU563" s="71"/>
      <c r="AV563" s="71"/>
      <c r="AW563" s="71"/>
      <c r="AX563" s="71"/>
      <c r="AY563" s="71"/>
      <c r="AZ563" s="54"/>
      <c r="BA563" s="71"/>
      <c r="BB563" s="54"/>
      <c r="BC563" s="73"/>
      <c r="BD563" s="71"/>
      <c r="BF563" s="89"/>
    </row>
    <row r="564" spans="1:58" s="25" customFormat="1" x14ac:dyDescent="0.3">
      <c r="A564" s="19"/>
      <c r="B564" s="74"/>
      <c r="C564" s="75"/>
      <c r="D564" s="75"/>
      <c r="E564" s="50"/>
      <c r="F564" s="51"/>
      <c r="G564" s="57"/>
      <c r="H564" s="51"/>
      <c r="I564" s="52"/>
      <c r="J564" s="76"/>
      <c r="K564" s="77"/>
      <c r="L564" s="77"/>
      <c r="M564" s="78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80"/>
      <c r="AM564" s="81"/>
      <c r="AN564" s="81"/>
      <c r="AO564" s="82"/>
      <c r="AP564" s="54"/>
      <c r="AQ564" s="71"/>
      <c r="AR564" s="71"/>
      <c r="AS564" s="71"/>
      <c r="AT564" s="71"/>
      <c r="AU564" s="71"/>
      <c r="AV564" s="71"/>
      <c r="AW564" s="71"/>
      <c r="AX564" s="71"/>
      <c r="AY564" s="71"/>
      <c r="AZ564" s="54"/>
      <c r="BA564" s="71"/>
      <c r="BB564" s="54"/>
      <c r="BC564" s="73"/>
      <c r="BD564" s="71"/>
      <c r="BF564" s="89"/>
    </row>
    <row r="565" spans="1:58" s="25" customFormat="1" x14ac:dyDescent="0.3">
      <c r="A565" s="19"/>
      <c r="B565" s="74"/>
      <c r="C565" s="75"/>
      <c r="D565" s="75"/>
      <c r="E565" s="50"/>
      <c r="F565" s="51"/>
      <c r="G565" s="57"/>
      <c r="H565" s="51"/>
      <c r="I565" s="52"/>
      <c r="J565" s="76"/>
      <c r="K565" s="77"/>
      <c r="L565" s="77"/>
      <c r="M565" s="78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80"/>
      <c r="AM565" s="81"/>
      <c r="AN565" s="81"/>
      <c r="AO565" s="82"/>
      <c r="AP565" s="54"/>
      <c r="AQ565" s="71"/>
      <c r="AR565" s="71"/>
      <c r="AS565" s="71"/>
      <c r="AT565" s="71"/>
      <c r="AU565" s="71"/>
      <c r="AV565" s="71"/>
      <c r="AW565" s="71"/>
      <c r="AX565" s="71"/>
      <c r="AY565" s="71"/>
      <c r="AZ565" s="54"/>
      <c r="BA565" s="71"/>
      <c r="BB565" s="54"/>
      <c r="BC565" s="73"/>
      <c r="BD565" s="71"/>
      <c r="BF565" s="89"/>
    </row>
    <row r="566" spans="1:58" s="25" customFormat="1" x14ac:dyDescent="0.3">
      <c r="A566" s="19"/>
      <c r="B566" s="74"/>
      <c r="C566" s="75"/>
      <c r="D566" s="75"/>
      <c r="E566" s="50"/>
      <c r="F566" s="51"/>
      <c r="G566" s="57"/>
      <c r="H566" s="51"/>
      <c r="I566" s="52"/>
      <c r="J566" s="76"/>
      <c r="K566" s="77"/>
      <c r="L566" s="77"/>
      <c r="M566" s="78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80"/>
      <c r="AM566" s="81"/>
      <c r="AN566" s="81"/>
      <c r="AO566" s="82"/>
      <c r="AP566" s="54"/>
      <c r="AQ566" s="71"/>
      <c r="AR566" s="71"/>
      <c r="AS566" s="71"/>
      <c r="AT566" s="71"/>
      <c r="AU566" s="71"/>
      <c r="AV566" s="71"/>
      <c r="AW566" s="71"/>
      <c r="AX566" s="71"/>
      <c r="AY566" s="71"/>
      <c r="AZ566" s="54"/>
      <c r="BA566" s="71"/>
      <c r="BB566" s="54"/>
      <c r="BC566" s="54"/>
      <c r="BD566" s="71"/>
      <c r="BF566" s="89"/>
    </row>
    <row r="567" spans="1:58" s="25" customFormat="1" x14ac:dyDescent="0.3">
      <c r="A567" s="19"/>
      <c r="B567" s="74"/>
      <c r="C567" s="75"/>
      <c r="D567" s="75"/>
      <c r="E567" s="50"/>
      <c r="F567" s="51"/>
      <c r="G567" s="57"/>
      <c r="H567" s="51"/>
      <c r="I567" s="52"/>
      <c r="J567" s="76"/>
      <c r="K567" s="77"/>
      <c r="L567" s="77"/>
      <c r="M567" s="78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80"/>
      <c r="AM567" s="81"/>
      <c r="AN567" s="81"/>
      <c r="AO567" s="82"/>
      <c r="AP567" s="54"/>
      <c r="AQ567" s="71"/>
      <c r="AR567" s="71"/>
      <c r="AS567" s="71"/>
      <c r="AT567" s="71"/>
      <c r="AU567" s="71"/>
      <c r="AV567" s="71"/>
      <c r="AW567" s="71"/>
      <c r="AX567" s="71"/>
      <c r="AY567" s="71"/>
      <c r="AZ567" s="54"/>
      <c r="BA567" s="71"/>
      <c r="BB567" s="54"/>
      <c r="BC567" s="54"/>
      <c r="BD567" s="71"/>
      <c r="BF567" s="89"/>
    </row>
    <row r="568" spans="1:58" s="25" customFormat="1" x14ac:dyDescent="0.3">
      <c r="A568" s="19"/>
      <c r="B568" s="74"/>
      <c r="C568" s="75"/>
      <c r="D568" s="75"/>
      <c r="E568" s="50"/>
      <c r="F568" s="51"/>
      <c r="G568" s="57"/>
      <c r="H568" s="51"/>
      <c r="I568" s="52"/>
      <c r="J568" s="76"/>
      <c r="K568" s="77"/>
      <c r="L568" s="77"/>
      <c r="M568" s="78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80"/>
      <c r="AM568" s="81"/>
      <c r="AN568" s="81"/>
      <c r="AO568" s="82"/>
      <c r="AP568" s="54"/>
      <c r="AQ568" s="71"/>
      <c r="AR568" s="71"/>
      <c r="AS568" s="71"/>
      <c r="AT568" s="71"/>
      <c r="AU568" s="71"/>
      <c r="AV568" s="71"/>
      <c r="AW568" s="71"/>
      <c r="AX568" s="71"/>
      <c r="AY568" s="71"/>
      <c r="AZ568" s="54"/>
      <c r="BA568" s="71"/>
      <c r="BB568" s="54"/>
      <c r="BC568" s="54"/>
      <c r="BD568" s="71"/>
      <c r="BF568" s="89"/>
    </row>
    <row r="569" spans="1:58" s="25" customFormat="1" x14ac:dyDescent="0.3">
      <c r="A569" s="19"/>
      <c r="B569" s="74"/>
      <c r="C569" s="75"/>
      <c r="D569" s="75"/>
      <c r="E569" s="50"/>
      <c r="F569" s="51"/>
      <c r="G569" s="57"/>
      <c r="H569" s="51"/>
      <c r="I569" s="52"/>
      <c r="J569" s="76"/>
      <c r="K569" s="77"/>
      <c r="L569" s="77"/>
      <c r="M569" s="78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80"/>
      <c r="AM569" s="81"/>
      <c r="AN569" s="81"/>
      <c r="AO569" s="82"/>
      <c r="AP569" s="54"/>
      <c r="AQ569" s="71"/>
      <c r="AR569" s="71"/>
      <c r="AS569" s="71"/>
      <c r="AT569" s="71"/>
      <c r="AU569" s="71"/>
      <c r="AV569" s="71"/>
      <c r="AW569" s="71"/>
      <c r="AX569" s="71"/>
      <c r="AY569" s="71"/>
      <c r="AZ569" s="54"/>
      <c r="BA569" s="71"/>
      <c r="BB569" s="54"/>
      <c r="BC569" s="54"/>
      <c r="BD569" s="71"/>
      <c r="BF569" s="89"/>
    </row>
    <row r="570" spans="1:58" s="25" customFormat="1" x14ac:dyDescent="0.3">
      <c r="A570" s="19"/>
      <c r="B570" s="74"/>
      <c r="C570" s="75"/>
      <c r="D570" s="75"/>
      <c r="E570" s="50"/>
      <c r="F570" s="51"/>
      <c r="G570" s="57"/>
      <c r="H570" s="51"/>
      <c r="I570" s="52"/>
      <c r="J570" s="76"/>
      <c r="K570" s="77"/>
      <c r="L570" s="77"/>
      <c r="M570" s="78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80"/>
      <c r="AM570" s="81"/>
      <c r="AN570" s="81"/>
      <c r="AO570" s="82"/>
      <c r="AP570" s="54"/>
      <c r="AQ570" s="71"/>
      <c r="AR570" s="71"/>
      <c r="AS570" s="71"/>
      <c r="AT570" s="71"/>
      <c r="AU570" s="71"/>
      <c r="AV570" s="71"/>
      <c r="AW570" s="71"/>
      <c r="AX570" s="71"/>
      <c r="AY570" s="71"/>
      <c r="AZ570" s="54"/>
      <c r="BA570" s="71"/>
      <c r="BB570" s="54"/>
      <c r="BC570" s="54"/>
      <c r="BD570" s="71"/>
      <c r="BF570" s="89"/>
    </row>
    <row r="571" spans="1:58" s="25" customFormat="1" x14ac:dyDescent="0.3">
      <c r="A571" s="19"/>
      <c r="B571" s="74"/>
      <c r="C571" s="75"/>
      <c r="D571" s="75"/>
      <c r="E571" s="50"/>
      <c r="F571" s="51"/>
      <c r="G571" s="57"/>
      <c r="H571" s="51"/>
      <c r="I571" s="52"/>
      <c r="J571" s="76"/>
      <c r="K571" s="77"/>
      <c r="L571" s="77"/>
      <c r="M571" s="78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80"/>
      <c r="AM571" s="81"/>
      <c r="AN571" s="81"/>
      <c r="AO571" s="82"/>
      <c r="AP571" s="54"/>
      <c r="AQ571" s="71"/>
      <c r="AR571" s="71"/>
      <c r="AS571" s="71"/>
      <c r="AT571" s="71"/>
      <c r="AU571" s="71"/>
      <c r="AV571" s="71"/>
      <c r="AW571" s="71"/>
      <c r="AX571" s="71"/>
      <c r="AY571" s="71"/>
      <c r="AZ571" s="54"/>
      <c r="BA571" s="71"/>
      <c r="BB571" s="54"/>
      <c r="BC571" s="54"/>
      <c r="BD571" s="71"/>
      <c r="BF571" s="89"/>
    </row>
    <row r="572" spans="1:58" s="25" customFormat="1" x14ac:dyDescent="0.3">
      <c r="A572" s="19"/>
      <c r="B572" s="74"/>
      <c r="C572" s="75"/>
      <c r="D572" s="75"/>
      <c r="E572" s="50"/>
      <c r="F572" s="51"/>
      <c r="G572" s="57"/>
      <c r="H572" s="51"/>
      <c r="I572" s="52"/>
      <c r="J572" s="76"/>
      <c r="K572" s="77"/>
      <c r="L572" s="77"/>
      <c r="M572" s="78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80"/>
      <c r="AM572" s="81"/>
      <c r="AN572" s="81"/>
      <c r="AO572" s="82"/>
      <c r="AP572" s="54"/>
      <c r="AQ572" s="71"/>
      <c r="AR572" s="71"/>
      <c r="AS572" s="71"/>
      <c r="AT572" s="71"/>
      <c r="AU572" s="71"/>
      <c r="AV572" s="71"/>
      <c r="AW572" s="71"/>
      <c r="AX572" s="71"/>
      <c r="AY572" s="71"/>
      <c r="AZ572" s="54"/>
      <c r="BA572" s="71"/>
      <c r="BB572" s="54"/>
      <c r="BC572" s="54"/>
      <c r="BD572" s="71"/>
      <c r="BF572" s="89"/>
    </row>
    <row r="573" spans="1:58" s="25" customFormat="1" x14ac:dyDescent="0.3">
      <c r="A573" s="19"/>
      <c r="B573" s="74"/>
      <c r="C573" s="75"/>
      <c r="D573" s="75"/>
      <c r="E573" s="50"/>
      <c r="F573" s="51"/>
      <c r="G573" s="57"/>
      <c r="H573" s="51"/>
      <c r="I573" s="52"/>
      <c r="J573" s="76"/>
      <c r="K573" s="77"/>
      <c r="L573" s="77"/>
      <c r="M573" s="78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80"/>
      <c r="AM573" s="81"/>
      <c r="AN573" s="81"/>
      <c r="AO573" s="82"/>
      <c r="AP573" s="54"/>
      <c r="AQ573" s="71"/>
      <c r="AR573" s="71"/>
      <c r="AS573" s="71"/>
      <c r="AT573" s="71"/>
      <c r="AU573" s="71"/>
      <c r="AV573" s="71"/>
      <c r="AW573" s="71"/>
      <c r="AX573" s="71"/>
      <c r="AY573" s="71"/>
      <c r="AZ573" s="54"/>
      <c r="BA573" s="71"/>
      <c r="BB573" s="54"/>
      <c r="BC573" s="54"/>
      <c r="BD573" s="71"/>
      <c r="BF573" s="89"/>
    </row>
    <row r="574" spans="1:58" s="25" customFormat="1" x14ac:dyDescent="0.3">
      <c r="A574" s="19"/>
      <c r="B574" s="74"/>
      <c r="C574" s="75"/>
      <c r="D574" s="75"/>
      <c r="E574" s="50"/>
      <c r="F574" s="51"/>
      <c r="G574" s="57"/>
      <c r="H574" s="51"/>
      <c r="I574" s="52"/>
      <c r="J574" s="76"/>
      <c r="K574" s="77"/>
      <c r="L574" s="77"/>
      <c r="M574" s="78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80"/>
      <c r="AM574" s="81"/>
      <c r="AN574" s="81"/>
      <c r="AO574" s="82"/>
      <c r="AP574" s="54"/>
      <c r="AQ574" s="71"/>
      <c r="AR574" s="71"/>
      <c r="AS574" s="71"/>
      <c r="AT574" s="71"/>
      <c r="AU574" s="71"/>
      <c r="AV574" s="71"/>
      <c r="AW574" s="71"/>
      <c r="AX574" s="71"/>
      <c r="AY574" s="71"/>
      <c r="AZ574" s="54"/>
      <c r="BA574" s="71"/>
      <c r="BB574" s="54"/>
      <c r="BC574" s="54"/>
      <c r="BD574" s="71"/>
      <c r="BF574" s="89"/>
    </row>
    <row r="575" spans="1:58" s="25" customFormat="1" x14ac:dyDescent="0.3">
      <c r="A575" s="19"/>
      <c r="B575" s="74"/>
      <c r="C575" s="75"/>
      <c r="D575" s="75"/>
      <c r="E575" s="50"/>
      <c r="F575" s="51"/>
      <c r="G575" s="57"/>
      <c r="H575" s="51"/>
      <c r="I575" s="52"/>
      <c r="J575" s="76"/>
      <c r="K575" s="77"/>
      <c r="L575" s="77"/>
      <c r="M575" s="78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80"/>
      <c r="AM575" s="81"/>
      <c r="AN575" s="81"/>
      <c r="AO575" s="82"/>
      <c r="AP575" s="54"/>
      <c r="AQ575" s="71"/>
      <c r="AR575" s="71"/>
      <c r="AS575" s="71"/>
      <c r="AT575" s="71"/>
      <c r="AU575" s="71"/>
      <c r="AV575" s="71"/>
      <c r="AW575" s="71"/>
      <c r="AX575" s="71"/>
      <c r="AY575" s="71"/>
      <c r="AZ575" s="54"/>
      <c r="BA575" s="71"/>
      <c r="BB575" s="54"/>
      <c r="BC575" s="54"/>
      <c r="BD575" s="71"/>
      <c r="BF575" s="89"/>
    </row>
    <row r="576" spans="1:58" s="25" customFormat="1" x14ac:dyDescent="0.3">
      <c r="A576" s="19"/>
      <c r="B576" s="74"/>
      <c r="C576" s="75"/>
      <c r="D576" s="75"/>
      <c r="E576" s="50"/>
      <c r="F576" s="51"/>
      <c r="G576" s="57"/>
      <c r="H576" s="51"/>
      <c r="I576" s="52"/>
      <c r="J576" s="76"/>
      <c r="K576" s="77"/>
      <c r="L576" s="77"/>
      <c r="M576" s="78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80"/>
      <c r="AM576" s="81"/>
      <c r="AN576" s="81"/>
      <c r="AO576" s="82"/>
      <c r="AP576" s="54"/>
      <c r="AQ576" s="71"/>
      <c r="AR576" s="71"/>
      <c r="AS576" s="71"/>
      <c r="AT576" s="71"/>
      <c r="AU576" s="71"/>
      <c r="AV576" s="71"/>
      <c r="AW576" s="71"/>
      <c r="AX576" s="71"/>
      <c r="AY576" s="71"/>
      <c r="AZ576" s="54"/>
      <c r="BA576" s="71"/>
      <c r="BB576" s="54"/>
      <c r="BC576" s="54"/>
      <c r="BD576" s="71"/>
      <c r="BF576" s="89"/>
    </row>
    <row r="577" spans="1:58" s="25" customFormat="1" x14ac:dyDescent="0.3">
      <c r="A577" s="19"/>
      <c r="B577" s="74"/>
      <c r="C577" s="75"/>
      <c r="D577" s="75"/>
      <c r="E577" s="50"/>
      <c r="F577" s="51"/>
      <c r="G577" s="57"/>
      <c r="H577" s="51"/>
      <c r="I577" s="52"/>
      <c r="J577" s="76"/>
      <c r="K577" s="77"/>
      <c r="L577" s="77"/>
      <c r="M577" s="78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80"/>
      <c r="AM577" s="81"/>
      <c r="AN577" s="81"/>
      <c r="AO577" s="82"/>
      <c r="AP577" s="54"/>
      <c r="AQ577" s="71"/>
      <c r="AR577" s="71"/>
      <c r="AS577" s="71"/>
      <c r="AT577" s="71"/>
      <c r="AU577" s="71"/>
      <c r="AV577" s="71"/>
      <c r="AW577" s="71"/>
      <c r="AX577" s="71"/>
      <c r="AY577" s="71"/>
      <c r="AZ577" s="54"/>
      <c r="BA577" s="71"/>
      <c r="BB577" s="54"/>
      <c r="BC577" s="54"/>
      <c r="BD577" s="71"/>
      <c r="BF577" s="89"/>
    </row>
    <row r="578" spans="1:58" s="25" customFormat="1" x14ac:dyDescent="0.3">
      <c r="A578" s="19"/>
      <c r="B578" s="74"/>
      <c r="C578" s="75"/>
      <c r="D578" s="75"/>
      <c r="E578" s="50"/>
      <c r="F578" s="51"/>
      <c r="G578" s="57"/>
      <c r="H578" s="51"/>
      <c r="I578" s="52"/>
      <c r="J578" s="76"/>
      <c r="K578" s="77"/>
      <c r="L578" s="77"/>
      <c r="M578" s="78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80"/>
      <c r="AM578" s="81"/>
      <c r="AN578" s="81"/>
      <c r="AO578" s="82"/>
      <c r="AP578" s="54"/>
      <c r="AQ578" s="71"/>
      <c r="AR578" s="71"/>
      <c r="AS578" s="71"/>
      <c r="AT578" s="71"/>
      <c r="AU578" s="71"/>
      <c r="AV578" s="71"/>
      <c r="AW578" s="71"/>
      <c r="AX578" s="71"/>
      <c r="AY578" s="71"/>
      <c r="AZ578" s="54"/>
      <c r="BA578" s="71"/>
      <c r="BB578" s="54"/>
      <c r="BC578" s="54"/>
      <c r="BD578" s="71"/>
      <c r="BF578" s="89"/>
    </row>
    <row r="579" spans="1:58" s="25" customFormat="1" x14ac:dyDescent="0.3">
      <c r="A579" s="19"/>
      <c r="B579" s="74"/>
      <c r="C579" s="75"/>
      <c r="D579" s="75"/>
      <c r="E579" s="50"/>
      <c r="F579" s="51"/>
      <c r="G579" s="57"/>
      <c r="H579" s="51"/>
      <c r="I579" s="52"/>
      <c r="J579" s="76"/>
      <c r="K579" s="77"/>
      <c r="L579" s="77"/>
      <c r="M579" s="78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80"/>
      <c r="AM579" s="81"/>
      <c r="AN579" s="81"/>
      <c r="AO579" s="82"/>
      <c r="AP579" s="54"/>
      <c r="AQ579" s="71"/>
      <c r="AR579" s="71"/>
      <c r="AS579" s="71"/>
      <c r="AT579" s="71"/>
      <c r="AU579" s="71"/>
      <c r="AV579" s="71"/>
      <c r="AW579" s="71"/>
      <c r="AX579" s="71"/>
      <c r="AY579" s="71"/>
      <c r="AZ579" s="54"/>
      <c r="BA579" s="71"/>
      <c r="BB579" s="54"/>
      <c r="BC579" s="54"/>
      <c r="BD579" s="71"/>
      <c r="BF579" s="89"/>
    </row>
    <row r="580" spans="1:58" s="25" customFormat="1" x14ac:dyDescent="0.3">
      <c r="A580" s="19"/>
      <c r="B580" s="74"/>
      <c r="C580" s="75"/>
      <c r="D580" s="75"/>
      <c r="E580" s="50"/>
      <c r="F580" s="51"/>
      <c r="G580" s="57"/>
      <c r="H580" s="51"/>
      <c r="I580" s="52"/>
      <c r="J580" s="76"/>
      <c r="K580" s="77"/>
      <c r="L580" s="77"/>
      <c r="M580" s="78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80"/>
      <c r="AM580" s="81"/>
      <c r="AN580" s="81"/>
      <c r="AO580" s="82"/>
      <c r="AP580" s="54"/>
      <c r="AQ580" s="71"/>
      <c r="AR580" s="71"/>
      <c r="AS580" s="71"/>
      <c r="AT580" s="71"/>
      <c r="AU580" s="71"/>
      <c r="AV580" s="71"/>
      <c r="AW580" s="71"/>
      <c r="AX580" s="71"/>
      <c r="AY580" s="71"/>
      <c r="AZ580" s="54"/>
      <c r="BA580" s="71"/>
      <c r="BB580" s="54"/>
      <c r="BC580" s="54"/>
      <c r="BD580" s="71"/>
      <c r="BF580" s="89"/>
    </row>
    <row r="581" spans="1:58" s="25" customFormat="1" x14ac:dyDescent="0.3">
      <c r="A581" s="19"/>
      <c r="B581" s="74"/>
      <c r="C581" s="75"/>
      <c r="D581" s="75"/>
      <c r="E581" s="50"/>
      <c r="F581" s="51"/>
      <c r="G581" s="57"/>
      <c r="H581" s="51"/>
      <c r="I581" s="52"/>
      <c r="J581" s="76"/>
      <c r="K581" s="77"/>
      <c r="L581" s="77"/>
      <c r="M581" s="78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80"/>
      <c r="AM581" s="81"/>
      <c r="AN581" s="81"/>
      <c r="AO581" s="82"/>
      <c r="AP581" s="54"/>
      <c r="AQ581" s="71"/>
      <c r="AR581" s="71"/>
      <c r="AS581" s="71"/>
      <c r="AT581" s="71"/>
      <c r="AU581" s="71"/>
      <c r="AV581" s="71"/>
      <c r="AW581" s="71"/>
      <c r="AX581" s="71"/>
      <c r="AY581" s="71"/>
      <c r="AZ581" s="54"/>
      <c r="BA581" s="71"/>
      <c r="BB581" s="54"/>
      <c r="BC581" s="54"/>
      <c r="BD581" s="71"/>
      <c r="BF581" s="89"/>
    </row>
    <row r="582" spans="1:58" s="25" customFormat="1" x14ac:dyDescent="0.3">
      <c r="A582" s="19"/>
      <c r="B582" s="74"/>
      <c r="C582" s="75"/>
      <c r="D582" s="75"/>
      <c r="E582" s="50"/>
      <c r="F582" s="51"/>
      <c r="G582" s="57"/>
      <c r="H582" s="51"/>
      <c r="I582" s="52"/>
      <c r="J582" s="76"/>
      <c r="K582" s="77"/>
      <c r="L582" s="77"/>
      <c r="M582" s="78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80"/>
      <c r="AM582" s="81"/>
      <c r="AN582" s="81"/>
      <c r="AO582" s="82"/>
      <c r="AP582" s="54"/>
      <c r="AQ582" s="71"/>
      <c r="AR582" s="71"/>
      <c r="AS582" s="71"/>
      <c r="AT582" s="71"/>
      <c r="AU582" s="71"/>
      <c r="AV582" s="71"/>
      <c r="AW582" s="71"/>
      <c r="AX582" s="71"/>
      <c r="AY582" s="71"/>
      <c r="AZ582" s="54"/>
      <c r="BA582" s="71"/>
      <c r="BB582" s="54"/>
      <c r="BC582" s="54"/>
      <c r="BD582" s="71"/>
      <c r="BF582" s="89"/>
    </row>
    <row r="583" spans="1:58" s="25" customFormat="1" x14ac:dyDescent="0.3">
      <c r="A583" s="19"/>
      <c r="B583" s="74"/>
      <c r="C583" s="75"/>
      <c r="D583" s="75"/>
      <c r="E583" s="50"/>
      <c r="F583" s="51"/>
      <c r="G583" s="57"/>
      <c r="H583" s="51"/>
      <c r="I583" s="52"/>
      <c r="J583" s="76"/>
      <c r="K583" s="77"/>
      <c r="L583" s="77"/>
      <c r="M583" s="78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80"/>
      <c r="AM583" s="81"/>
      <c r="AN583" s="81"/>
      <c r="AO583" s="82"/>
      <c r="AP583" s="54"/>
      <c r="AQ583" s="71"/>
      <c r="AR583" s="71"/>
      <c r="AS583" s="71"/>
      <c r="AT583" s="71"/>
      <c r="AU583" s="71"/>
      <c r="AV583" s="71"/>
      <c r="AW583" s="71"/>
      <c r="AX583" s="71"/>
      <c r="AY583" s="71"/>
      <c r="AZ583" s="54"/>
      <c r="BA583" s="71"/>
      <c r="BB583" s="54"/>
      <c r="BC583" s="54"/>
      <c r="BD583" s="71"/>
      <c r="BF583" s="89"/>
    </row>
    <row r="584" spans="1:58" s="25" customFormat="1" x14ac:dyDescent="0.3">
      <c r="A584" s="19"/>
      <c r="B584" s="74"/>
      <c r="C584" s="75"/>
      <c r="D584" s="75"/>
      <c r="E584" s="50"/>
      <c r="F584" s="51"/>
      <c r="G584" s="57"/>
      <c r="H584" s="51"/>
      <c r="I584" s="52"/>
      <c r="J584" s="76"/>
      <c r="K584" s="77"/>
      <c r="L584" s="77"/>
      <c r="M584" s="78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80"/>
      <c r="AM584" s="81"/>
      <c r="AN584" s="81"/>
      <c r="AO584" s="82"/>
      <c r="AP584" s="54"/>
      <c r="AQ584" s="71"/>
      <c r="AR584" s="71"/>
      <c r="AS584" s="71"/>
      <c r="AT584" s="71"/>
      <c r="AU584" s="71"/>
      <c r="AV584" s="71"/>
      <c r="AW584" s="71"/>
      <c r="AX584" s="71"/>
      <c r="AY584" s="71"/>
      <c r="AZ584" s="54"/>
      <c r="BA584" s="71"/>
      <c r="BB584" s="54"/>
      <c r="BC584" s="54"/>
      <c r="BD584" s="71"/>
      <c r="BF584" s="89"/>
    </row>
    <row r="585" spans="1:58" s="25" customFormat="1" x14ac:dyDescent="0.3">
      <c r="A585" s="19"/>
      <c r="B585" s="74"/>
      <c r="C585" s="75"/>
      <c r="D585" s="75"/>
      <c r="E585" s="50"/>
      <c r="F585" s="51"/>
      <c r="G585" s="57"/>
      <c r="H585" s="51"/>
      <c r="I585" s="52"/>
      <c r="J585" s="76"/>
      <c r="K585" s="77"/>
      <c r="L585" s="77"/>
      <c r="M585" s="78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80"/>
      <c r="AM585" s="81"/>
      <c r="AN585" s="81"/>
      <c r="AO585" s="82"/>
      <c r="AP585" s="54"/>
      <c r="AQ585" s="71"/>
      <c r="AR585" s="71"/>
      <c r="AS585" s="71"/>
      <c r="AT585" s="71"/>
      <c r="AU585" s="71"/>
      <c r="AV585" s="71"/>
      <c r="AW585" s="71"/>
      <c r="AX585" s="71"/>
      <c r="AY585" s="71"/>
      <c r="AZ585" s="54"/>
      <c r="BA585" s="71"/>
      <c r="BB585" s="54"/>
      <c r="BC585" s="54"/>
      <c r="BD585" s="71"/>
      <c r="BF585" s="89"/>
    </row>
    <row r="586" spans="1:58" s="25" customFormat="1" x14ac:dyDescent="0.3">
      <c r="A586" s="19"/>
      <c r="B586" s="74"/>
      <c r="C586" s="75"/>
      <c r="D586" s="75"/>
      <c r="E586" s="50"/>
      <c r="F586" s="51"/>
      <c r="G586" s="57"/>
      <c r="H586" s="51"/>
      <c r="I586" s="52"/>
      <c r="J586" s="76"/>
      <c r="K586" s="77"/>
      <c r="L586" s="77"/>
      <c r="M586" s="78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80"/>
      <c r="AM586" s="81"/>
      <c r="AN586" s="81"/>
      <c r="AO586" s="82"/>
      <c r="AP586" s="54"/>
      <c r="AQ586" s="71"/>
      <c r="AR586" s="71"/>
      <c r="AS586" s="71"/>
      <c r="AT586" s="71"/>
      <c r="AU586" s="71"/>
      <c r="AV586" s="71"/>
      <c r="AW586" s="71"/>
      <c r="AX586" s="71"/>
      <c r="AY586" s="71"/>
      <c r="AZ586" s="54"/>
      <c r="BA586" s="71"/>
      <c r="BB586" s="54"/>
      <c r="BC586" s="54"/>
      <c r="BD586" s="71"/>
      <c r="BF586" s="89"/>
    </row>
    <row r="587" spans="1:58" s="25" customFormat="1" x14ac:dyDescent="0.3">
      <c r="A587" s="19"/>
      <c r="B587" s="74"/>
      <c r="C587" s="75"/>
      <c r="D587" s="75"/>
      <c r="E587" s="50"/>
      <c r="F587" s="51"/>
      <c r="G587" s="57"/>
      <c r="H587" s="51"/>
      <c r="I587" s="52"/>
      <c r="J587" s="76"/>
      <c r="K587" s="77"/>
      <c r="L587" s="77"/>
      <c r="M587" s="78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80"/>
      <c r="AM587" s="81"/>
      <c r="AN587" s="81"/>
      <c r="AO587" s="82"/>
      <c r="AP587" s="54"/>
      <c r="AQ587" s="71"/>
      <c r="AR587" s="71"/>
      <c r="AS587" s="71"/>
      <c r="AT587" s="71"/>
      <c r="AU587" s="71"/>
      <c r="AV587" s="71"/>
      <c r="AW587" s="71"/>
      <c r="AX587" s="71"/>
      <c r="AY587" s="71"/>
      <c r="AZ587" s="54"/>
      <c r="BA587" s="71"/>
      <c r="BB587" s="54"/>
      <c r="BC587" s="54"/>
      <c r="BD587" s="71"/>
      <c r="BF587" s="89"/>
    </row>
    <row r="588" spans="1:58" s="25" customFormat="1" x14ac:dyDescent="0.3">
      <c r="A588" s="19"/>
      <c r="B588" s="74"/>
      <c r="C588" s="75"/>
      <c r="D588" s="75"/>
      <c r="E588" s="50"/>
      <c r="F588" s="51"/>
      <c r="G588" s="57"/>
      <c r="H588" s="51"/>
      <c r="I588" s="52"/>
      <c r="J588" s="76"/>
      <c r="K588" s="77"/>
      <c r="L588" s="77"/>
      <c r="M588" s="78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80"/>
      <c r="AM588" s="81"/>
      <c r="AN588" s="81"/>
      <c r="AO588" s="82"/>
      <c r="AP588" s="54"/>
      <c r="AQ588" s="71"/>
      <c r="AR588" s="71"/>
      <c r="AS588" s="71"/>
      <c r="AT588" s="71"/>
      <c r="AU588" s="71"/>
      <c r="AV588" s="71"/>
      <c r="AW588" s="71"/>
      <c r="AX588" s="71"/>
      <c r="AY588" s="71"/>
      <c r="AZ588" s="54"/>
      <c r="BA588" s="71"/>
      <c r="BB588" s="54"/>
      <c r="BC588" s="54"/>
      <c r="BD588" s="71"/>
      <c r="BF588" s="89"/>
    </row>
    <row r="589" spans="1:58" s="25" customFormat="1" x14ac:dyDescent="0.3">
      <c r="A589" s="19"/>
      <c r="B589" s="74"/>
      <c r="C589" s="75"/>
      <c r="D589" s="75"/>
      <c r="E589" s="50"/>
      <c r="F589" s="51"/>
      <c r="G589" s="57"/>
      <c r="H589" s="51"/>
      <c r="I589" s="52"/>
      <c r="J589" s="76"/>
      <c r="K589" s="77"/>
      <c r="L589" s="77"/>
      <c r="M589" s="78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80"/>
      <c r="AM589" s="81"/>
      <c r="AN589" s="81"/>
      <c r="AO589" s="82"/>
      <c r="AP589" s="54"/>
      <c r="AQ589" s="71"/>
      <c r="AR589" s="71"/>
      <c r="AS589" s="71"/>
      <c r="AT589" s="71"/>
      <c r="AU589" s="71"/>
      <c r="AV589" s="71"/>
      <c r="AW589" s="71"/>
      <c r="AX589" s="71"/>
      <c r="AY589" s="71"/>
      <c r="AZ589" s="54"/>
      <c r="BA589" s="71"/>
      <c r="BB589" s="54"/>
      <c r="BC589" s="54"/>
      <c r="BD589" s="71"/>
      <c r="BF589" s="89"/>
    </row>
    <row r="590" spans="1:58" s="25" customFormat="1" x14ac:dyDescent="0.3">
      <c r="A590" s="19"/>
      <c r="B590" s="74"/>
      <c r="C590" s="75"/>
      <c r="D590" s="75"/>
      <c r="E590" s="50"/>
      <c r="F590" s="51"/>
      <c r="G590" s="57"/>
      <c r="H590" s="51"/>
      <c r="I590" s="52"/>
      <c r="J590" s="76"/>
      <c r="K590" s="77"/>
      <c r="L590" s="77"/>
      <c r="M590" s="78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80"/>
      <c r="AM590" s="81"/>
      <c r="AN590" s="81"/>
      <c r="AO590" s="82"/>
      <c r="AP590" s="54"/>
      <c r="AQ590" s="71"/>
      <c r="AR590" s="71"/>
      <c r="AS590" s="71"/>
      <c r="AT590" s="71"/>
      <c r="AU590" s="71"/>
      <c r="AV590" s="71"/>
      <c r="AW590" s="71"/>
      <c r="AX590" s="71"/>
      <c r="AY590" s="71"/>
      <c r="AZ590" s="54"/>
      <c r="BA590" s="71"/>
      <c r="BB590" s="54"/>
      <c r="BC590" s="54"/>
      <c r="BD590" s="71"/>
      <c r="BF590" s="89"/>
    </row>
    <row r="591" spans="1:58" s="25" customFormat="1" x14ac:dyDescent="0.3">
      <c r="A591" s="19"/>
      <c r="B591" s="74"/>
      <c r="C591" s="75"/>
      <c r="D591" s="75"/>
      <c r="E591" s="50"/>
      <c r="F591" s="51"/>
      <c r="G591" s="57"/>
      <c r="H591" s="51"/>
      <c r="I591" s="52"/>
      <c r="J591" s="76"/>
      <c r="K591" s="77"/>
      <c r="L591" s="77"/>
      <c r="M591" s="78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80"/>
      <c r="AM591" s="81"/>
      <c r="AN591" s="81"/>
      <c r="AO591" s="82"/>
      <c r="AP591" s="54"/>
      <c r="AQ591" s="71"/>
      <c r="AR591" s="71"/>
      <c r="AS591" s="71"/>
      <c r="AT591" s="71"/>
      <c r="AU591" s="71"/>
      <c r="AV591" s="71"/>
      <c r="AW591" s="71"/>
      <c r="AX591" s="71"/>
      <c r="AY591" s="71"/>
      <c r="AZ591" s="54"/>
      <c r="BA591" s="71"/>
      <c r="BB591" s="54"/>
      <c r="BC591" s="54"/>
      <c r="BD591" s="71"/>
      <c r="BF591" s="89"/>
    </row>
    <row r="592" spans="1:58" s="25" customFormat="1" x14ac:dyDescent="0.3">
      <c r="A592" s="19"/>
      <c r="B592" s="74"/>
      <c r="C592" s="75"/>
      <c r="D592" s="75"/>
      <c r="E592" s="50"/>
      <c r="F592" s="51"/>
      <c r="G592" s="57"/>
      <c r="H592" s="51"/>
      <c r="I592" s="52"/>
      <c r="J592" s="76"/>
      <c r="K592" s="77"/>
      <c r="L592" s="77"/>
      <c r="M592" s="78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80"/>
      <c r="AM592" s="81"/>
      <c r="AN592" s="81"/>
      <c r="AO592" s="82"/>
      <c r="AP592" s="54"/>
      <c r="AQ592" s="71"/>
      <c r="AR592" s="71"/>
      <c r="AS592" s="71"/>
      <c r="AT592" s="71"/>
      <c r="AU592" s="71"/>
      <c r="AV592" s="71"/>
      <c r="AW592" s="71"/>
      <c r="AX592" s="71"/>
      <c r="AY592" s="71"/>
      <c r="AZ592" s="54"/>
      <c r="BA592" s="71"/>
      <c r="BB592" s="54"/>
      <c r="BC592" s="54"/>
      <c r="BD592" s="71"/>
      <c r="BF592" s="89"/>
    </row>
    <row r="593" spans="1:58" s="25" customFormat="1" x14ac:dyDescent="0.3">
      <c r="A593" s="19"/>
      <c r="B593" s="74"/>
      <c r="C593" s="75"/>
      <c r="D593" s="75"/>
      <c r="E593" s="50"/>
      <c r="F593" s="51"/>
      <c r="G593" s="57"/>
      <c r="H593" s="51"/>
      <c r="I593" s="52"/>
      <c r="J593" s="76"/>
      <c r="K593" s="77"/>
      <c r="L593" s="77"/>
      <c r="M593" s="78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80"/>
      <c r="AM593" s="81"/>
      <c r="AN593" s="81"/>
      <c r="AO593" s="82"/>
      <c r="AP593" s="54"/>
      <c r="AQ593" s="71"/>
      <c r="AR593" s="71"/>
      <c r="AS593" s="71"/>
      <c r="AT593" s="71"/>
      <c r="AU593" s="71"/>
      <c r="AV593" s="71"/>
      <c r="AW593" s="71"/>
      <c r="AX593" s="71"/>
      <c r="AY593" s="71"/>
      <c r="AZ593" s="54"/>
      <c r="BA593" s="71"/>
      <c r="BB593" s="54"/>
      <c r="BC593" s="54"/>
      <c r="BD593" s="71"/>
      <c r="BF593" s="89"/>
    </row>
    <row r="594" spans="1:58" s="25" customFormat="1" x14ac:dyDescent="0.3">
      <c r="A594" s="19"/>
      <c r="B594" s="74"/>
      <c r="C594" s="75"/>
      <c r="D594" s="75"/>
      <c r="E594" s="50"/>
      <c r="F594" s="51"/>
      <c r="G594" s="57"/>
      <c r="H594" s="51"/>
      <c r="I594" s="52"/>
      <c r="J594" s="76"/>
      <c r="K594" s="77"/>
      <c r="L594" s="77"/>
      <c r="M594" s="78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80"/>
      <c r="AM594" s="81"/>
      <c r="AN594" s="81"/>
      <c r="AO594" s="82"/>
      <c r="AP594" s="54"/>
      <c r="AQ594" s="71"/>
      <c r="AR594" s="71"/>
      <c r="AS594" s="71"/>
      <c r="AT594" s="71"/>
      <c r="AU594" s="71"/>
      <c r="AV594" s="71"/>
      <c r="AW594" s="71"/>
      <c r="AX594" s="71"/>
      <c r="AY594" s="71"/>
      <c r="AZ594" s="54"/>
      <c r="BA594" s="71"/>
      <c r="BB594" s="54"/>
      <c r="BC594" s="54"/>
      <c r="BD594" s="71"/>
      <c r="BF594" s="89"/>
    </row>
    <row r="595" spans="1:58" s="25" customFormat="1" x14ac:dyDescent="0.3">
      <c r="A595" s="19"/>
      <c r="B595" s="74"/>
      <c r="C595" s="75"/>
      <c r="D595" s="75"/>
      <c r="E595" s="50"/>
      <c r="F595" s="51"/>
      <c r="G595" s="57"/>
      <c r="H595" s="51"/>
      <c r="I595" s="52"/>
      <c r="J595" s="76"/>
      <c r="K595" s="77"/>
      <c r="L595" s="77"/>
      <c r="M595" s="78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80"/>
      <c r="AM595" s="81"/>
      <c r="AN595" s="81"/>
      <c r="AO595" s="82"/>
      <c r="AP595" s="54"/>
      <c r="AQ595" s="71"/>
      <c r="AR595" s="71"/>
      <c r="AS595" s="71"/>
      <c r="AT595" s="71"/>
      <c r="AU595" s="71"/>
      <c r="AV595" s="71"/>
      <c r="AW595" s="71"/>
      <c r="AX595" s="71"/>
      <c r="AY595" s="71"/>
      <c r="AZ595" s="54"/>
      <c r="BA595" s="71"/>
      <c r="BB595" s="54"/>
      <c r="BC595" s="54"/>
      <c r="BD595" s="71"/>
      <c r="BF595" s="89"/>
    </row>
    <row r="596" spans="1:58" s="25" customFormat="1" x14ac:dyDescent="0.3">
      <c r="A596" s="19"/>
      <c r="B596" s="74"/>
      <c r="C596" s="75"/>
      <c r="D596" s="75"/>
      <c r="E596" s="50"/>
      <c r="F596" s="51"/>
      <c r="G596" s="57"/>
      <c r="H596" s="51"/>
      <c r="I596" s="52"/>
      <c r="J596" s="76"/>
      <c r="K596" s="77"/>
      <c r="L596" s="77"/>
      <c r="M596" s="78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80"/>
      <c r="AM596" s="81"/>
      <c r="AN596" s="81"/>
      <c r="AO596" s="82"/>
      <c r="AP596" s="54"/>
      <c r="AQ596" s="71"/>
      <c r="AR596" s="71"/>
      <c r="AS596" s="71"/>
      <c r="AT596" s="71"/>
      <c r="AU596" s="71"/>
      <c r="AV596" s="71"/>
      <c r="AW596" s="71"/>
      <c r="AX596" s="71"/>
      <c r="AY596" s="71"/>
      <c r="AZ596" s="54"/>
      <c r="BA596" s="71"/>
      <c r="BB596" s="54"/>
      <c r="BC596" s="54"/>
      <c r="BD596" s="71"/>
      <c r="BF596" s="89"/>
    </row>
    <row r="597" spans="1:58" s="25" customFormat="1" x14ac:dyDescent="0.3">
      <c r="A597" s="19"/>
      <c r="B597" s="74"/>
      <c r="C597" s="75"/>
      <c r="D597" s="75"/>
      <c r="E597" s="50"/>
      <c r="F597" s="51"/>
      <c r="G597" s="57"/>
      <c r="H597" s="51"/>
      <c r="I597" s="52"/>
      <c r="J597" s="76"/>
      <c r="K597" s="77"/>
      <c r="L597" s="77"/>
      <c r="M597" s="78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80"/>
      <c r="AM597" s="81"/>
      <c r="AN597" s="81"/>
      <c r="AO597" s="82"/>
      <c r="AP597" s="54"/>
      <c r="AQ597" s="71"/>
      <c r="AR597" s="71"/>
      <c r="AS597" s="71"/>
      <c r="AT597" s="71"/>
      <c r="AU597" s="71"/>
      <c r="AV597" s="71"/>
      <c r="AW597" s="71"/>
      <c r="AX597" s="71"/>
      <c r="AY597" s="71"/>
      <c r="AZ597" s="54"/>
      <c r="BA597" s="71"/>
      <c r="BB597" s="54"/>
      <c r="BC597" s="54"/>
      <c r="BD597" s="71"/>
      <c r="BF597" s="89"/>
    </row>
    <row r="598" spans="1:58" s="25" customFormat="1" x14ac:dyDescent="0.3">
      <c r="A598" s="19"/>
      <c r="B598" s="74"/>
      <c r="C598" s="75"/>
      <c r="D598" s="75"/>
      <c r="E598" s="50"/>
      <c r="F598" s="51"/>
      <c r="G598" s="57"/>
      <c r="H598" s="51"/>
      <c r="I598" s="52"/>
      <c r="J598" s="76"/>
      <c r="K598" s="77"/>
      <c r="L598" s="77"/>
      <c r="M598" s="78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80"/>
      <c r="AM598" s="81"/>
      <c r="AN598" s="81"/>
      <c r="AO598" s="82"/>
      <c r="AP598" s="54"/>
      <c r="AQ598" s="71"/>
      <c r="AR598" s="71"/>
      <c r="AS598" s="71"/>
      <c r="AT598" s="71"/>
      <c r="AU598" s="71"/>
      <c r="AV598" s="71"/>
      <c r="AW598" s="71"/>
      <c r="AX598" s="71"/>
      <c r="AY598" s="71"/>
      <c r="AZ598" s="54"/>
      <c r="BA598" s="71"/>
      <c r="BB598" s="54"/>
      <c r="BC598" s="54"/>
      <c r="BD598" s="71"/>
      <c r="BF598" s="89"/>
    </row>
    <row r="599" spans="1:58" s="25" customFormat="1" x14ac:dyDescent="0.3">
      <c r="A599" s="19"/>
      <c r="B599" s="74"/>
      <c r="C599" s="75"/>
      <c r="D599" s="75"/>
      <c r="E599" s="50"/>
      <c r="F599" s="51"/>
      <c r="G599" s="57"/>
      <c r="H599" s="51"/>
      <c r="I599" s="52"/>
      <c r="J599" s="76"/>
      <c r="K599" s="77"/>
      <c r="L599" s="77"/>
      <c r="M599" s="78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80"/>
      <c r="AM599" s="81"/>
      <c r="AN599" s="81"/>
      <c r="AO599" s="82"/>
      <c r="AP599" s="54"/>
      <c r="AQ599" s="71"/>
      <c r="AR599" s="71"/>
      <c r="AS599" s="71"/>
      <c r="AT599" s="71"/>
      <c r="AU599" s="71"/>
      <c r="AV599" s="71"/>
      <c r="AW599" s="71"/>
      <c r="AX599" s="71"/>
      <c r="AY599" s="71"/>
      <c r="AZ599" s="54"/>
      <c r="BA599" s="71"/>
      <c r="BB599" s="54"/>
      <c r="BC599" s="54"/>
      <c r="BD599" s="71"/>
      <c r="BF599" s="89"/>
    </row>
    <row r="600" spans="1:58" s="25" customFormat="1" x14ac:dyDescent="0.3">
      <c r="A600" s="19"/>
      <c r="B600" s="74"/>
      <c r="C600" s="75"/>
      <c r="D600" s="75"/>
      <c r="E600" s="50"/>
      <c r="F600" s="51"/>
      <c r="G600" s="57"/>
      <c r="H600" s="51"/>
      <c r="I600" s="52"/>
      <c r="J600" s="76"/>
      <c r="K600" s="77"/>
      <c r="L600" s="77"/>
      <c r="M600" s="78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80"/>
      <c r="AM600" s="81"/>
      <c r="AN600" s="81"/>
      <c r="AO600" s="82"/>
      <c r="AP600" s="54"/>
      <c r="AQ600" s="71"/>
      <c r="AR600" s="71"/>
      <c r="AS600" s="71"/>
      <c r="AT600" s="71"/>
      <c r="AU600" s="71"/>
      <c r="AV600" s="71"/>
      <c r="AW600" s="71"/>
      <c r="AX600" s="71"/>
      <c r="AY600" s="71"/>
      <c r="AZ600" s="54"/>
      <c r="BA600" s="71"/>
      <c r="BB600" s="54"/>
      <c r="BC600" s="54"/>
      <c r="BD600" s="71"/>
      <c r="BF600" s="89"/>
    </row>
    <row r="601" spans="1:58" s="25" customFormat="1" x14ac:dyDescent="0.3">
      <c r="A601" s="19"/>
      <c r="B601" s="74"/>
      <c r="C601" s="75"/>
      <c r="D601" s="75"/>
      <c r="E601" s="50"/>
      <c r="F601" s="51"/>
      <c r="G601" s="57"/>
      <c r="H601" s="51"/>
      <c r="I601" s="52"/>
      <c r="J601" s="76"/>
      <c r="K601" s="77"/>
      <c r="L601" s="77"/>
      <c r="M601" s="78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80"/>
      <c r="AM601" s="81"/>
      <c r="AN601" s="81"/>
      <c r="AO601" s="82"/>
      <c r="AP601" s="54"/>
      <c r="AQ601" s="71"/>
      <c r="AR601" s="71"/>
      <c r="AS601" s="71"/>
      <c r="AT601" s="71"/>
      <c r="AU601" s="71"/>
      <c r="AV601" s="71"/>
      <c r="AW601" s="71"/>
      <c r="AX601" s="71"/>
      <c r="AY601" s="71"/>
      <c r="AZ601" s="54"/>
      <c r="BA601" s="71"/>
      <c r="BB601" s="54"/>
      <c r="BC601" s="54"/>
      <c r="BD601" s="71"/>
      <c r="BF601" s="89"/>
    </row>
    <row r="602" spans="1:58" s="25" customFormat="1" x14ac:dyDescent="0.3">
      <c r="A602" s="19"/>
      <c r="B602" s="74"/>
      <c r="C602" s="75"/>
      <c r="D602" s="75"/>
      <c r="E602" s="50"/>
      <c r="F602" s="51"/>
      <c r="G602" s="57"/>
      <c r="H602" s="51"/>
      <c r="I602" s="52"/>
      <c r="J602" s="76"/>
      <c r="K602" s="77"/>
      <c r="L602" s="77"/>
      <c r="M602" s="78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80"/>
      <c r="AM602" s="81"/>
      <c r="AN602" s="81"/>
      <c r="AO602" s="82"/>
      <c r="AP602" s="54"/>
      <c r="AQ602" s="71"/>
      <c r="AR602" s="71"/>
      <c r="AS602" s="71"/>
      <c r="AT602" s="71"/>
      <c r="AU602" s="71"/>
      <c r="AV602" s="71"/>
      <c r="AW602" s="71"/>
      <c r="AX602" s="71"/>
      <c r="AY602" s="71"/>
      <c r="AZ602" s="54"/>
      <c r="BA602" s="71"/>
      <c r="BB602" s="54"/>
      <c r="BC602" s="54"/>
      <c r="BD602" s="71"/>
      <c r="BF602" s="89"/>
    </row>
    <row r="603" spans="1:58" s="25" customFormat="1" x14ac:dyDescent="0.3">
      <c r="A603" s="19"/>
      <c r="B603" s="74"/>
      <c r="C603" s="75"/>
      <c r="D603" s="75"/>
      <c r="E603" s="50"/>
      <c r="F603" s="51"/>
      <c r="G603" s="57"/>
      <c r="H603" s="51"/>
      <c r="I603" s="52"/>
      <c r="J603" s="76"/>
      <c r="K603" s="77"/>
      <c r="L603" s="77"/>
      <c r="M603" s="78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80"/>
      <c r="AM603" s="81"/>
      <c r="AN603" s="81"/>
      <c r="AO603" s="82"/>
      <c r="AP603" s="54"/>
      <c r="AQ603" s="71"/>
      <c r="AR603" s="71"/>
      <c r="AS603" s="71"/>
      <c r="AT603" s="71"/>
      <c r="AU603" s="71"/>
      <c r="AV603" s="71"/>
      <c r="AW603" s="71"/>
      <c r="AX603" s="71"/>
      <c r="AY603" s="71"/>
      <c r="AZ603" s="54"/>
      <c r="BA603" s="71"/>
      <c r="BB603" s="54"/>
      <c r="BC603" s="54"/>
      <c r="BD603" s="71"/>
      <c r="BF603" s="89"/>
    </row>
    <row r="604" spans="1:58" s="25" customFormat="1" x14ac:dyDescent="0.3">
      <c r="A604" s="19"/>
      <c r="B604" s="74"/>
      <c r="C604" s="75"/>
      <c r="D604" s="75"/>
      <c r="E604" s="50"/>
      <c r="F604" s="51"/>
      <c r="G604" s="57"/>
      <c r="H604" s="51"/>
      <c r="I604" s="52"/>
      <c r="J604" s="76"/>
      <c r="K604" s="77"/>
      <c r="L604" s="77"/>
      <c r="M604" s="78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80"/>
      <c r="AM604" s="81"/>
      <c r="AN604" s="81"/>
      <c r="AO604" s="82"/>
      <c r="AP604" s="54"/>
      <c r="AQ604" s="71"/>
      <c r="AR604" s="71"/>
      <c r="AS604" s="71"/>
      <c r="AT604" s="71"/>
      <c r="AU604" s="71"/>
      <c r="AV604" s="71"/>
      <c r="AW604" s="71"/>
      <c r="AX604" s="71"/>
      <c r="AY604" s="71"/>
      <c r="AZ604" s="54"/>
      <c r="BA604" s="71"/>
      <c r="BB604" s="54"/>
      <c r="BC604" s="54"/>
      <c r="BD604" s="71"/>
      <c r="BF604" s="89"/>
    </row>
    <row r="605" spans="1:58" s="25" customFormat="1" x14ac:dyDescent="0.3">
      <c r="A605" s="19"/>
      <c r="B605" s="74"/>
      <c r="C605" s="75"/>
      <c r="D605" s="75"/>
      <c r="E605" s="50"/>
      <c r="F605" s="51"/>
      <c r="G605" s="57"/>
      <c r="H605" s="51"/>
      <c r="I605" s="52"/>
      <c r="J605" s="76"/>
      <c r="K605" s="77"/>
      <c r="L605" s="77"/>
      <c r="M605" s="78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80"/>
      <c r="AM605" s="81"/>
      <c r="AN605" s="81"/>
      <c r="AO605" s="82"/>
      <c r="AP605" s="54"/>
      <c r="AQ605" s="71"/>
      <c r="AR605" s="71"/>
      <c r="AS605" s="71"/>
      <c r="AT605" s="71"/>
      <c r="AU605" s="71"/>
      <c r="AV605" s="71"/>
      <c r="AW605" s="71"/>
      <c r="AX605" s="71"/>
      <c r="AY605" s="71"/>
      <c r="AZ605" s="54"/>
      <c r="BA605" s="71"/>
      <c r="BB605" s="54"/>
      <c r="BC605" s="54"/>
      <c r="BD605" s="71"/>
      <c r="BF605" s="89"/>
    </row>
    <row r="606" spans="1:58" s="25" customFormat="1" x14ac:dyDescent="0.3">
      <c r="A606" s="19"/>
      <c r="B606" s="74"/>
      <c r="C606" s="75"/>
      <c r="D606" s="75"/>
      <c r="E606" s="50"/>
      <c r="F606" s="51"/>
      <c r="G606" s="57"/>
      <c r="H606" s="51"/>
      <c r="I606" s="52"/>
      <c r="J606" s="76"/>
      <c r="K606" s="77"/>
      <c r="L606" s="77"/>
      <c r="M606" s="78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80"/>
      <c r="AM606" s="81"/>
      <c r="AN606" s="81"/>
      <c r="AO606" s="82"/>
      <c r="AP606" s="54"/>
      <c r="AQ606" s="71"/>
      <c r="AR606" s="71"/>
      <c r="AS606" s="71"/>
      <c r="AT606" s="71"/>
      <c r="AU606" s="71"/>
      <c r="AV606" s="71"/>
      <c r="AW606" s="71"/>
      <c r="AX606" s="71"/>
      <c r="AY606" s="71"/>
      <c r="AZ606" s="54"/>
      <c r="BA606" s="71"/>
      <c r="BB606" s="54"/>
      <c r="BC606" s="54"/>
      <c r="BD606" s="71"/>
      <c r="BF606" s="89"/>
    </row>
    <row r="607" spans="1:58" s="25" customFormat="1" x14ac:dyDescent="0.3">
      <c r="A607" s="19"/>
      <c r="B607" s="74"/>
      <c r="C607" s="75"/>
      <c r="D607" s="75"/>
      <c r="E607" s="50"/>
      <c r="F607" s="51"/>
      <c r="G607" s="57"/>
      <c r="H607" s="51"/>
      <c r="I607" s="52"/>
      <c r="J607" s="76"/>
      <c r="K607" s="77"/>
      <c r="L607" s="77"/>
      <c r="M607" s="78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80"/>
      <c r="AM607" s="81"/>
      <c r="AN607" s="81"/>
      <c r="AO607" s="82"/>
      <c r="AP607" s="54"/>
      <c r="AQ607" s="71"/>
      <c r="AR607" s="71"/>
      <c r="AS607" s="71"/>
      <c r="AT607" s="71"/>
      <c r="AU607" s="71"/>
      <c r="AV607" s="71"/>
      <c r="AW607" s="71"/>
      <c r="AX607" s="71"/>
      <c r="AY607" s="71"/>
      <c r="AZ607" s="54"/>
      <c r="BA607" s="71"/>
      <c r="BB607" s="54"/>
      <c r="BC607" s="54"/>
      <c r="BD607" s="71"/>
      <c r="BF607" s="89"/>
    </row>
    <row r="608" spans="1:58" s="25" customFormat="1" x14ac:dyDescent="0.3">
      <c r="A608" s="19"/>
      <c r="B608" s="74"/>
      <c r="C608" s="75"/>
      <c r="D608" s="75"/>
      <c r="E608" s="50"/>
      <c r="F608" s="51"/>
      <c r="G608" s="57"/>
      <c r="H608" s="51"/>
      <c r="I608" s="52"/>
      <c r="J608" s="76"/>
      <c r="K608" s="77"/>
      <c r="L608" s="77"/>
      <c r="M608" s="78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80"/>
      <c r="AM608" s="81"/>
      <c r="AN608" s="81"/>
      <c r="AO608" s="82"/>
      <c r="AP608" s="54"/>
      <c r="AQ608" s="71"/>
      <c r="AR608" s="71"/>
      <c r="AS608" s="71"/>
      <c r="AT608" s="71"/>
      <c r="AU608" s="71"/>
      <c r="AV608" s="71"/>
      <c r="AW608" s="71"/>
      <c r="AX608" s="71"/>
      <c r="AY608" s="71"/>
      <c r="AZ608" s="54"/>
      <c r="BA608" s="71"/>
      <c r="BB608" s="54"/>
      <c r="BC608" s="54"/>
      <c r="BD608" s="71"/>
      <c r="BF608" s="89"/>
    </row>
    <row r="609" spans="1:58" s="25" customFormat="1" x14ac:dyDescent="0.3">
      <c r="A609" s="19"/>
      <c r="B609" s="74"/>
      <c r="C609" s="75"/>
      <c r="D609" s="75"/>
      <c r="E609" s="50"/>
      <c r="F609" s="51"/>
      <c r="G609" s="57"/>
      <c r="H609" s="51"/>
      <c r="I609" s="52"/>
      <c r="J609" s="76"/>
      <c r="K609" s="77"/>
      <c r="L609" s="77"/>
      <c r="M609" s="78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80"/>
      <c r="AM609" s="81"/>
      <c r="AN609" s="81"/>
      <c r="AO609" s="82"/>
      <c r="AP609" s="54"/>
      <c r="AQ609" s="71"/>
      <c r="AR609" s="71"/>
      <c r="AS609" s="71"/>
      <c r="AT609" s="71"/>
      <c r="AU609" s="71"/>
      <c r="AV609" s="71"/>
      <c r="AW609" s="71"/>
      <c r="AX609" s="71"/>
      <c r="AY609" s="71"/>
      <c r="AZ609" s="54"/>
      <c r="BA609" s="71"/>
      <c r="BB609" s="54"/>
      <c r="BC609" s="54"/>
      <c r="BD609" s="71"/>
      <c r="BF609" s="89"/>
    </row>
    <row r="610" spans="1:58" s="25" customFormat="1" x14ac:dyDescent="0.3">
      <c r="A610" s="19"/>
      <c r="B610" s="74"/>
      <c r="C610" s="75"/>
      <c r="D610" s="75"/>
      <c r="E610" s="50"/>
      <c r="F610" s="51"/>
      <c r="G610" s="57"/>
      <c r="H610" s="51"/>
      <c r="I610" s="52"/>
      <c r="J610" s="76"/>
      <c r="K610" s="77"/>
      <c r="L610" s="77"/>
      <c r="M610" s="78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80"/>
      <c r="AM610" s="81"/>
      <c r="AN610" s="81"/>
      <c r="AO610" s="82"/>
      <c r="AP610" s="54"/>
      <c r="AQ610" s="71"/>
      <c r="AR610" s="71"/>
      <c r="AS610" s="71"/>
      <c r="AT610" s="71"/>
      <c r="AU610" s="71"/>
      <c r="AV610" s="71"/>
      <c r="AW610" s="71"/>
      <c r="AX610" s="71"/>
      <c r="AY610" s="71"/>
      <c r="AZ610" s="54"/>
      <c r="BA610" s="71"/>
      <c r="BB610" s="54"/>
      <c r="BC610" s="54"/>
      <c r="BD610" s="71"/>
      <c r="BF610" s="89"/>
    </row>
    <row r="611" spans="1:58" s="25" customFormat="1" x14ac:dyDescent="0.3">
      <c r="A611" s="19"/>
      <c r="B611" s="74"/>
      <c r="C611" s="75"/>
      <c r="D611" s="75"/>
      <c r="E611" s="50"/>
      <c r="F611" s="51"/>
      <c r="G611" s="57"/>
      <c r="H611" s="51"/>
      <c r="I611" s="52"/>
      <c r="J611" s="76"/>
      <c r="K611" s="77"/>
      <c r="L611" s="77"/>
      <c r="M611" s="78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80"/>
      <c r="AM611" s="81"/>
      <c r="AN611" s="81"/>
      <c r="AO611" s="82"/>
      <c r="AP611" s="54"/>
      <c r="AQ611" s="71"/>
      <c r="AR611" s="71"/>
      <c r="AS611" s="71"/>
      <c r="AT611" s="71"/>
      <c r="AU611" s="71"/>
      <c r="AV611" s="71"/>
      <c r="AW611" s="71"/>
      <c r="AX611" s="71"/>
      <c r="AY611" s="71"/>
      <c r="AZ611" s="54"/>
      <c r="BA611" s="71"/>
      <c r="BB611" s="54"/>
      <c r="BC611" s="54"/>
      <c r="BD611" s="71"/>
      <c r="BF611" s="89"/>
    </row>
    <row r="612" spans="1:58" s="25" customFormat="1" x14ac:dyDescent="0.3">
      <c r="A612" s="19"/>
      <c r="B612" s="74"/>
      <c r="C612" s="75"/>
      <c r="D612" s="75"/>
      <c r="E612" s="50"/>
      <c r="F612" s="51"/>
      <c r="G612" s="57"/>
      <c r="H612" s="51"/>
      <c r="I612" s="52"/>
      <c r="J612" s="76"/>
      <c r="K612" s="77"/>
      <c r="L612" s="77"/>
      <c r="M612" s="78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80"/>
      <c r="AM612" s="81"/>
      <c r="AN612" s="81"/>
      <c r="AO612" s="82"/>
      <c r="AP612" s="54"/>
      <c r="AQ612" s="71"/>
      <c r="AR612" s="71"/>
      <c r="AS612" s="71"/>
      <c r="AT612" s="71"/>
      <c r="AU612" s="71"/>
      <c r="AV612" s="71"/>
      <c r="AW612" s="71"/>
      <c r="AX612" s="71"/>
      <c r="AY612" s="71"/>
      <c r="AZ612" s="54"/>
      <c r="BA612" s="71"/>
      <c r="BB612" s="54"/>
      <c r="BC612" s="54"/>
      <c r="BD612" s="71"/>
      <c r="BF612" s="89"/>
    </row>
    <row r="613" spans="1:58" s="25" customFormat="1" x14ac:dyDescent="0.3">
      <c r="A613" s="19"/>
      <c r="B613" s="74"/>
      <c r="C613" s="75"/>
      <c r="D613" s="75"/>
      <c r="E613" s="50"/>
      <c r="F613" s="51"/>
      <c r="G613" s="57"/>
      <c r="H613" s="51"/>
      <c r="I613" s="52"/>
      <c r="J613" s="76"/>
      <c r="K613" s="77"/>
      <c r="L613" s="77"/>
      <c r="M613" s="78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80"/>
      <c r="AM613" s="81"/>
      <c r="AN613" s="81"/>
      <c r="AO613" s="82"/>
      <c r="AP613" s="54"/>
      <c r="AQ613" s="71"/>
      <c r="AR613" s="71"/>
      <c r="AS613" s="71"/>
      <c r="AT613" s="71"/>
      <c r="AU613" s="71"/>
      <c r="AV613" s="71"/>
      <c r="AW613" s="71"/>
      <c r="AX613" s="71"/>
      <c r="AY613" s="71"/>
      <c r="AZ613" s="54"/>
      <c r="BA613" s="71"/>
      <c r="BB613" s="54"/>
      <c r="BC613" s="54"/>
      <c r="BD613" s="71"/>
      <c r="BF613" s="89"/>
    </row>
    <row r="614" spans="1:58" s="25" customFormat="1" x14ac:dyDescent="0.3">
      <c r="A614" s="19"/>
      <c r="B614" s="74"/>
      <c r="C614" s="75"/>
      <c r="D614" s="75"/>
      <c r="E614" s="50"/>
      <c r="F614" s="51"/>
      <c r="G614" s="57"/>
      <c r="H614" s="51"/>
      <c r="I614" s="52"/>
      <c r="J614" s="76"/>
      <c r="K614" s="77"/>
      <c r="L614" s="77"/>
      <c r="M614" s="78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80"/>
      <c r="AM614" s="81"/>
      <c r="AN614" s="81"/>
      <c r="AO614" s="82"/>
      <c r="AP614" s="54"/>
      <c r="AQ614" s="71"/>
      <c r="AR614" s="71"/>
      <c r="AS614" s="71"/>
      <c r="AT614" s="71"/>
      <c r="AU614" s="71"/>
      <c r="AV614" s="71"/>
      <c r="AW614" s="71"/>
      <c r="AX614" s="71"/>
      <c r="AY614" s="71"/>
      <c r="AZ614" s="54"/>
      <c r="BA614" s="71"/>
      <c r="BB614" s="54"/>
      <c r="BC614" s="54"/>
      <c r="BD614" s="71"/>
      <c r="BF614" s="89"/>
    </row>
    <row r="615" spans="1:58" s="25" customFormat="1" x14ac:dyDescent="0.3">
      <c r="A615" s="19"/>
      <c r="B615" s="74"/>
      <c r="C615" s="75"/>
      <c r="D615" s="75"/>
      <c r="E615" s="50"/>
      <c r="F615" s="51"/>
      <c r="G615" s="57"/>
      <c r="H615" s="51"/>
      <c r="I615" s="52"/>
      <c r="J615" s="76"/>
      <c r="K615" s="77"/>
      <c r="L615" s="77"/>
      <c r="M615" s="78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80"/>
      <c r="AM615" s="81"/>
      <c r="AN615" s="81"/>
      <c r="AO615" s="82"/>
      <c r="AP615" s="54"/>
      <c r="AQ615" s="71"/>
      <c r="AR615" s="71"/>
      <c r="AS615" s="71"/>
      <c r="AT615" s="71"/>
      <c r="AU615" s="71"/>
      <c r="AV615" s="71"/>
      <c r="AW615" s="71"/>
      <c r="AX615" s="71"/>
      <c r="AY615" s="71"/>
      <c r="AZ615" s="54"/>
      <c r="BA615" s="71"/>
      <c r="BB615" s="54"/>
      <c r="BC615" s="54"/>
      <c r="BD615" s="71"/>
      <c r="BF615" s="89"/>
    </row>
    <row r="616" spans="1:58" s="25" customFormat="1" x14ac:dyDescent="0.3">
      <c r="A616" s="19"/>
      <c r="B616" s="74"/>
      <c r="C616" s="75"/>
      <c r="D616" s="75"/>
      <c r="E616" s="50"/>
      <c r="F616" s="51"/>
      <c r="G616" s="57"/>
      <c r="H616" s="51"/>
      <c r="I616" s="52"/>
      <c r="J616" s="76"/>
      <c r="K616" s="77"/>
      <c r="L616" s="77"/>
      <c r="M616" s="78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80"/>
      <c r="AM616" s="81"/>
      <c r="AN616" s="81"/>
      <c r="AO616" s="82"/>
      <c r="AP616" s="54"/>
      <c r="AQ616" s="71"/>
      <c r="AR616" s="71"/>
      <c r="AS616" s="71"/>
      <c r="AT616" s="71"/>
      <c r="AU616" s="71"/>
      <c r="AV616" s="71"/>
      <c r="AW616" s="71"/>
      <c r="AX616" s="71"/>
      <c r="AY616" s="71"/>
      <c r="AZ616" s="54"/>
      <c r="BA616" s="71"/>
      <c r="BB616" s="54"/>
      <c r="BC616" s="54"/>
      <c r="BD616" s="71"/>
      <c r="BF616" s="89"/>
    </row>
    <row r="617" spans="1:58" s="25" customFormat="1" x14ac:dyDescent="0.3">
      <c r="A617" s="19"/>
      <c r="B617" s="74"/>
      <c r="C617" s="75"/>
      <c r="D617" s="75"/>
      <c r="E617" s="50"/>
      <c r="F617" s="51"/>
      <c r="G617" s="57"/>
      <c r="H617" s="51"/>
      <c r="I617" s="52"/>
      <c r="J617" s="76"/>
      <c r="K617" s="77"/>
      <c r="L617" s="77"/>
      <c r="M617" s="78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80"/>
      <c r="AM617" s="81"/>
      <c r="AN617" s="81"/>
      <c r="AO617" s="82"/>
      <c r="AP617" s="54"/>
      <c r="AQ617" s="71"/>
      <c r="AR617" s="71"/>
      <c r="AS617" s="71"/>
      <c r="AT617" s="71"/>
      <c r="AU617" s="71"/>
      <c r="AV617" s="71"/>
      <c r="AW617" s="71"/>
      <c r="AX617" s="71"/>
      <c r="AY617" s="71"/>
      <c r="AZ617" s="54"/>
      <c r="BA617" s="71"/>
      <c r="BB617" s="54"/>
      <c r="BC617" s="54"/>
      <c r="BD617" s="71"/>
      <c r="BF617" s="89"/>
    </row>
    <row r="618" spans="1:58" s="25" customFormat="1" x14ac:dyDescent="0.3">
      <c r="A618" s="19"/>
      <c r="B618" s="74"/>
      <c r="C618" s="75"/>
      <c r="D618" s="75"/>
      <c r="E618" s="50"/>
      <c r="F618" s="51"/>
      <c r="G618" s="57"/>
      <c r="H618" s="51"/>
      <c r="I618" s="52"/>
      <c r="J618" s="76"/>
      <c r="K618" s="77"/>
      <c r="L618" s="77"/>
      <c r="M618" s="78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80"/>
      <c r="AM618" s="81"/>
      <c r="AN618" s="81"/>
      <c r="AO618" s="82"/>
      <c r="AP618" s="54"/>
      <c r="AQ618" s="71"/>
      <c r="AR618" s="71"/>
      <c r="AS618" s="71"/>
      <c r="AT618" s="71"/>
      <c r="AU618" s="71"/>
      <c r="AV618" s="71"/>
      <c r="AW618" s="71"/>
      <c r="AX618" s="71"/>
      <c r="AY618" s="71"/>
      <c r="AZ618" s="54"/>
      <c r="BA618" s="71"/>
      <c r="BB618" s="54"/>
      <c r="BC618" s="73"/>
      <c r="BD618" s="71"/>
      <c r="BF618" s="89"/>
    </row>
    <row r="619" spans="1:58" s="25" customFormat="1" x14ac:dyDescent="0.3">
      <c r="A619" s="19"/>
      <c r="B619" s="74"/>
      <c r="C619" s="75"/>
      <c r="D619" s="75"/>
      <c r="E619" s="50"/>
      <c r="F619" s="51"/>
      <c r="G619" s="57"/>
      <c r="H619" s="51"/>
      <c r="I619" s="52"/>
      <c r="J619" s="76"/>
      <c r="K619" s="77"/>
      <c r="L619" s="77"/>
      <c r="M619" s="78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80"/>
      <c r="AM619" s="81"/>
      <c r="AN619" s="81"/>
      <c r="AO619" s="82"/>
      <c r="AP619" s="54"/>
      <c r="AQ619" s="71"/>
      <c r="AR619" s="71"/>
      <c r="AS619" s="71"/>
      <c r="AT619" s="71"/>
      <c r="AU619" s="71"/>
      <c r="AV619" s="71"/>
      <c r="AW619" s="71"/>
      <c r="AX619" s="71"/>
      <c r="AY619" s="71"/>
      <c r="AZ619" s="54"/>
      <c r="BA619" s="71"/>
      <c r="BB619" s="54"/>
      <c r="BC619" s="73"/>
      <c r="BD619" s="71"/>
      <c r="BF619" s="89"/>
    </row>
    <row r="620" spans="1:58" s="25" customFormat="1" x14ac:dyDescent="0.3">
      <c r="A620" s="19"/>
      <c r="B620" s="74"/>
      <c r="C620" s="75"/>
      <c r="D620" s="75"/>
      <c r="E620" s="50"/>
      <c r="F620" s="51"/>
      <c r="G620" s="57"/>
      <c r="H620" s="51"/>
      <c r="I620" s="52"/>
      <c r="J620" s="76"/>
      <c r="K620" s="77"/>
      <c r="L620" s="77"/>
      <c r="M620" s="78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80"/>
      <c r="AM620" s="81"/>
      <c r="AN620" s="81"/>
      <c r="AO620" s="82"/>
      <c r="AP620" s="54"/>
      <c r="AQ620" s="71"/>
      <c r="AR620" s="71"/>
      <c r="AS620" s="71"/>
      <c r="AT620" s="71"/>
      <c r="AU620" s="71"/>
      <c r="AV620" s="71"/>
      <c r="AW620" s="71"/>
      <c r="AX620" s="71"/>
      <c r="AY620" s="71"/>
      <c r="AZ620" s="54"/>
      <c r="BA620" s="71"/>
      <c r="BB620" s="54"/>
      <c r="BC620" s="73"/>
      <c r="BD620" s="71"/>
      <c r="BF620" s="89"/>
    </row>
    <row r="621" spans="1:58" s="25" customFormat="1" x14ac:dyDescent="0.3">
      <c r="A621" s="19"/>
      <c r="B621" s="74"/>
      <c r="C621" s="75"/>
      <c r="D621" s="75"/>
      <c r="E621" s="50"/>
      <c r="F621" s="51"/>
      <c r="G621" s="57"/>
      <c r="H621" s="51"/>
      <c r="I621" s="52"/>
      <c r="J621" s="76"/>
      <c r="K621" s="77"/>
      <c r="L621" s="77"/>
      <c r="M621" s="78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80"/>
      <c r="AM621" s="81"/>
      <c r="AN621" s="81"/>
      <c r="AO621" s="82"/>
      <c r="AP621" s="54"/>
      <c r="AQ621" s="71"/>
      <c r="AR621" s="71"/>
      <c r="AS621" s="71"/>
      <c r="AT621" s="71"/>
      <c r="AU621" s="71"/>
      <c r="AV621" s="71"/>
      <c r="AW621" s="71"/>
      <c r="AX621" s="71"/>
      <c r="AY621" s="71"/>
      <c r="AZ621" s="54"/>
      <c r="BA621" s="71"/>
      <c r="BB621" s="54"/>
      <c r="BC621" s="73"/>
      <c r="BD621" s="71"/>
      <c r="BF621" s="89"/>
    </row>
    <row r="622" spans="1:58" s="25" customFormat="1" x14ac:dyDescent="0.3">
      <c r="A622" s="19"/>
      <c r="B622" s="74"/>
      <c r="C622" s="75"/>
      <c r="D622" s="75"/>
      <c r="E622" s="50"/>
      <c r="F622" s="51"/>
      <c r="G622" s="57"/>
      <c r="H622" s="51"/>
      <c r="I622" s="52"/>
      <c r="J622" s="76"/>
      <c r="K622" s="77"/>
      <c r="L622" s="77"/>
      <c r="M622" s="78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80"/>
      <c r="AM622" s="81"/>
      <c r="AN622" s="81"/>
      <c r="AO622" s="82"/>
      <c r="AP622" s="54"/>
      <c r="AQ622" s="71"/>
      <c r="AR622" s="71"/>
      <c r="AS622" s="71"/>
      <c r="AT622" s="71"/>
      <c r="AU622" s="71"/>
      <c r="AV622" s="71"/>
      <c r="AW622" s="71"/>
      <c r="AX622" s="71"/>
      <c r="AY622" s="71"/>
      <c r="AZ622" s="54"/>
      <c r="BA622" s="71"/>
      <c r="BB622" s="54"/>
      <c r="BC622" s="73"/>
      <c r="BD622" s="71"/>
      <c r="BF622" s="89"/>
    </row>
    <row r="623" spans="1:58" s="25" customFormat="1" x14ac:dyDescent="0.3">
      <c r="A623" s="19"/>
      <c r="B623" s="74"/>
      <c r="C623" s="75"/>
      <c r="D623" s="75"/>
      <c r="E623" s="50"/>
      <c r="F623" s="51"/>
      <c r="G623" s="57"/>
      <c r="H623" s="51"/>
      <c r="I623" s="52"/>
      <c r="J623" s="76"/>
      <c r="K623" s="77"/>
      <c r="L623" s="77"/>
      <c r="M623" s="78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80"/>
      <c r="AM623" s="81"/>
      <c r="AN623" s="81"/>
      <c r="AO623" s="82"/>
      <c r="AP623" s="54"/>
      <c r="AQ623" s="71"/>
      <c r="AR623" s="71"/>
      <c r="AS623" s="71"/>
      <c r="AT623" s="71"/>
      <c r="AU623" s="71"/>
      <c r="AV623" s="71"/>
      <c r="AW623" s="71"/>
      <c r="AX623" s="71"/>
      <c r="AY623" s="71"/>
      <c r="AZ623" s="54"/>
      <c r="BA623" s="71"/>
      <c r="BB623" s="54"/>
      <c r="BC623" s="73"/>
      <c r="BD623" s="71"/>
      <c r="BF623" s="89"/>
    </row>
    <row r="624" spans="1:58" s="25" customFormat="1" x14ac:dyDescent="0.3">
      <c r="A624" s="19"/>
      <c r="B624" s="74"/>
      <c r="C624" s="75"/>
      <c r="D624" s="75"/>
      <c r="E624" s="50"/>
      <c r="F624" s="51"/>
      <c r="G624" s="57"/>
      <c r="H624" s="51"/>
      <c r="I624" s="52"/>
      <c r="J624" s="76"/>
      <c r="K624" s="77"/>
      <c r="L624" s="77"/>
      <c r="M624" s="78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80"/>
      <c r="AM624" s="81"/>
      <c r="AN624" s="81"/>
      <c r="AO624" s="82"/>
      <c r="AP624" s="54"/>
      <c r="AQ624" s="71"/>
      <c r="AR624" s="71"/>
      <c r="AS624" s="71"/>
      <c r="AT624" s="71"/>
      <c r="AU624" s="71"/>
      <c r="AV624" s="71"/>
      <c r="AW624" s="71"/>
      <c r="AX624" s="71"/>
      <c r="AY624" s="71"/>
      <c r="AZ624" s="54"/>
      <c r="BA624" s="71"/>
      <c r="BB624" s="54"/>
      <c r="BC624" s="73"/>
      <c r="BD624" s="71"/>
      <c r="BF624" s="89"/>
    </row>
    <row r="625" spans="1:58" s="25" customFormat="1" x14ac:dyDescent="0.3">
      <c r="A625" s="19"/>
      <c r="B625" s="74"/>
      <c r="C625" s="75"/>
      <c r="D625" s="75"/>
      <c r="E625" s="50"/>
      <c r="F625" s="51"/>
      <c r="G625" s="57"/>
      <c r="H625" s="51"/>
      <c r="I625" s="52"/>
      <c r="J625" s="76"/>
      <c r="K625" s="77"/>
      <c r="L625" s="77"/>
      <c r="M625" s="78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80"/>
      <c r="AM625" s="81"/>
      <c r="AN625" s="81"/>
      <c r="AO625" s="82"/>
      <c r="AP625" s="54"/>
      <c r="AQ625" s="71"/>
      <c r="AR625" s="71"/>
      <c r="AS625" s="71"/>
      <c r="AT625" s="71"/>
      <c r="AU625" s="71"/>
      <c r="AV625" s="71"/>
      <c r="AW625" s="71"/>
      <c r="AX625" s="71"/>
      <c r="AY625" s="71"/>
      <c r="AZ625" s="54"/>
      <c r="BA625" s="71"/>
      <c r="BB625" s="54"/>
      <c r="BC625" s="73"/>
      <c r="BD625" s="71"/>
      <c r="BF625" s="89"/>
    </row>
    <row r="626" spans="1:58" s="25" customFormat="1" x14ac:dyDescent="0.3">
      <c r="A626" s="19"/>
      <c r="B626" s="74"/>
      <c r="C626" s="75"/>
      <c r="D626" s="75"/>
      <c r="E626" s="50"/>
      <c r="F626" s="51"/>
      <c r="G626" s="57"/>
      <c r="H626" s="51"/>
      <c r="I626" s="52"/>
      <c r="J626" s="76"/>
      <c r="K626" s="77"/>
      <c r="L626" s="77"/>
      <c r="M626" s="78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80"/>
      <c r="AM626" s="81"/>
      <c r="AN626" s="81"/>
      <c r="AO626" s="82"/>
      <c r="AP626" s="54"/>
      <c r="AQ626" s="71"/>
      <c r="AR626" s="71"/>
      <c r="AS626" s="71"/>
      <c r="AT626" s="71"/>
      <c r="AU626" s="71"/>
      <c r="AV626" s="71"/>
      <c r="AW626" s="71"/>
      <c r="AX626" s="71"/>
      <c r="AY626" s="71"/>
      <c r="AZ626" s="54"/>
      <c r="BA626" s="71"/>
      <c r="BB626" s="54"/>
      <c r="BC626" s="73"/>
      <c r="BD626" s="71"/>
      <c r="BF626" s="89"/>
    </row>
    <row r="627" spans="1:58" s="25" customFormat="1" x14ac:dyDescent="0.3">
      <c r="A627" s="19"/>
      <c r="B627" s="74"/>
      <c r="C627" s="75"/>
      <c r="D627" s="75"/>
      <c r="E627" s="50"/>
      <c r="F627" s="51"/>
      <c r="G627" s="57"/>
      <c r="H627" s="51"/>
      <c r="I627" s="52"/>
      <c r="J627" s="76"/>
      <c r="K627" s="77"/>
      <c r="L627" s="77"/>
      <c r="M627" s="78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80"/>
      <c r="AM627" s="81"/>
      <c r="AN627" s="81"/>
      <c r="AO627" s="82"/>
      <c r="AP627" s="54"/>
      <c r="AQ627" s="71"/>
      <c r="AR627" s="71"/>
      <c r="AS627" s="71"/>
      <c r="AT627" s="71"/>
      <c r="AU627" s="71"/>
      <c r="AV627" s="71"/>
      <c r="AW627" s="71"/>
      <c r="AX627" s="71"/>
      <c r="AY627" s="71"/>
      <c r="AZ627" s="54"/>
      <c r="BA627" s="71"/>
      <c r="BB627" s="54"/>
      <c r="BC627" s="73"/>
      <c r="BD627" s="71"/>
      <c r="BF627" s="89"/>
    </row>
    <row r="628" spans="1:58" s="25" customFormat="1" x14ac:dyDescent="0.3">
      <c r="A628" s="19"/>
      <c r="B628" s="74"/>
      <c r="C628" s="75"/>
      <c r="D628" s="75"/>
      <c r="E628" s="50"/>
      <c r="F628" s="51"/>
      <c r="G628" s="57"/>
      <c r="H628" s="51"/>
      <c r="I628" s="52"/>
      <c r="J628" s="76"/>
      <c r="K628" s="77"/>
      <c r="L628" s="77"/>
      <c r="M628" s="78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80"/>
      <c r="AM628" s="81"/>
      <c r="AN628" s="81"/>
      <c r="AO628" s="82"/>
      <c r="AP628" s="54"/>
      <c r="AQ628" s="71"/>
      <c r="AR628" s="71"/>
      <c r="AS628" s="71"/>
      <c r="AT628" s="71"/>
      <c r="AU628" s="71"/>
      <c r="AV628" s="71"/>
      <c r="AW628" s="71"/>
      <c r="AX628" s="71"/>
      <c r="AY628" s="71"/>
      <c r="AZ628" s="54"/>
      <c r="BA628" s="71"/>
      <c r="BB628" s="54"/>
      <c r="BC628" s="73"/>
      <c r="BD628" s="71"/>
      <c r="BF628" s="89"/>
    </row>
    <row r="629" spans="1:58" s="25" customFormat="1" x14ac:dyDescent="0.3">
      <c r="A629" s="19"/>
      <c r="B629" s="74"/>
      <c r="C629" s="75"/>
      <c r="D629" s="75"/>
      <c r="E629" s="50"/>
      <c r="F629" s="51"/>
      <c r="G629" s="57"/>
      <c r="H629" s="51"/>
      <c r="I629" s="52"/>
      <c r="J629" s="76"/>
      <c r="K629" s="77"/>
      <c r="L629" s="77"/>
      <c r="M629" s="78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80"/>
      <c r="AM629" s="81"/>
      <c r="AN629" s="81"/>
      <c r="AO629" s="82"/>
      <c r="AP629" s="54"/>
      <c r="AQ629" s="71"/>
      <c r="AR629" s="71"/>
      <c r="AS629" s="71"/>
      <c r="AT629" s="71"/>
      <c r="AU629" s="71"/>
      <c r="AV629" s="71"/>
      <c r="AW629" s="71"/>
      <c r="AX629" s="71"/>
      <c r="AY629" s="71"/>
      <c r="AZ629" s="54"/>
      <c r="BA629" s="71"/>
      <c r="BB629" s="54"/>
      <c r="BC629" s="73"/>
      <c r="BD629" s="71"/>
      <c r="BF629" s="89"/>
    </row>
    <row r="630" spans="1:58" s="25" customFormat="1" x14ac:dyDescent="0.3">
      <c r="A630" s="19"/>
      <c r="B630" s="74"/>
      <c r="C630" s="75"/>
      <c r="D630" s="75"/>
      <c r="E630" s="50"/>
      <c r="F630" s="51"/>
      <c r="G630" s="57"/>
      <c r="H630" s="51"/>
      <c r="I630" s="52"/>
      <c r="J630" s="76"/>
      <c r="K630" s="77"/>
      <c r="L630" s="77"/>
      <c r="M630" s="78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80"/>
      <c r="AM630" s="81"/>
      <c r="AN630" s="81"/>
      <c r="AO630" s="82"/>
      <c r="AP630" s="54"/>
      <c r="AQ630" s="71"/>
      <c r="AR630" s="71"/>
      <c r="AS630" s="71"/>
      <c r="AT630" s="71"/>
      <c r="AU630" s="71"/>
      <c r="AV630" s="71"/>
      <c r="AW630" s="71"/>
      <c r="AX630" s="71"/>
      <c r="AY630" s="71"/>
      <c r="AZ630" s="54"/>
      <c r="BA630" s="71"/>
      <c r="BB630" s="54"/>
      <c r="BC630" s="73"/>
      <c r="BD630" s="71"/>
      <c r="BF630" s="89"/>
    </row>
    <row r="631" spans="1:58" s="25" customFormat="1" x14ac:dyDescent="0.3">
      <c r="A631" s="19"/>
      <c r="B631" s="74"/>
      <c r="C631" s="75"/>
      <c r="D631" s="75"/>
      <c r="E631" s="50"/>
      <c r="F631" s="51"/>
      <c r="G631" s="57"/>
      <c r="H631" s="51"/>
      <c r="I631" s="52"/>
      <c r="J631" s="76"/>
      <c r="K631" s="77"/>
      <c r="L631" s="77"/>
      <c r="M631" s="78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80"/>
      <c r="AM631" s="81"/>
      <c r="AN631" s="81"/>
      <c r="AO631" s="82"/>
      <c r="AP631" s="54"/>
      <c r="AQ631" s="71"/>
      <c r="AR631" s="71"/>
      <c r="AS631" s="71"/>
      <c r="AT631" s="71"/>
      <c r="AU631" s="71"/>
      <c r="AV631" s="71"/>
      <c r="AW631" s="71"/>
      <c r="AX631" s="71"/>
      <c r="AY631" s="71"/>
      <c r="AZ631" s="54"/>
      <c r="BA631" s="71"/>
      <c r="BB631" s="54"/>
      <c r="BC631" s="73"/>
      <c r="BD631" s="71"/>
      <c r="BF631" s="89"/>
    </row>
    <row r="632" spans="1:58" s="25" customFormat="1" x14ac:dyDescent="0.3">
      <c r="A632" s="19"/>
      <c r="B632" s="74"/>
      <c r="C632" s="75"/>
      <c r="D632" s="75"/>
      <c r="E632" s="50"/>
      <c r="F632" s="51"/>
      <c r="G632" s="57"/>
      <c r="H632" s="51"/>
      <c r="I632" s="52"/>
      <c r="J632" s="76"/>
      <c r="K632" s="77"/>
      <c r="L632" s="77"/>
      <c r="M632" s="78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80"/>
      <c r="AM632" s="81"/>
      <c r="AN632" s="81"/>
      <c r="AO632" s="82"/>
      <c r="AP632" s="54"/>
      <c r="AQ632" s="71"/>
      <c r="AR632" s="71"/>
      <c r="AS632" s="71"/>
      <c r="AT632" s="71"/>
      <c r="AU632" s="71"/>
      <c r="AV632" s="71"/>
      <c r="AW632" s="71"/>
      <c r="AX632" s="71"/>
      <c r="AY632" s="71"/>
      <c r="AZ632" s="54"/>
      <c r="BA632" s="71"/>
      <c r="BB632" s="54"/>
      <c r="BC632" s="73"/>
      <c r="BD632" s="71"/>
      <c r="BF632" s="89"/>
    </row>
    <row r="633" spans="1:58" s="25" customFormat="1" x14ac:dyDescent="0.3">
      <c r="A633" s="19"/>
      <c r="B633" s="74"/>
      <c r="C633" s="75"/>
      <c r="D633" s="75"/>
      <c r="E633" s="50"/>
      <c r="F633" s="51"/>
      <c r="G633" s="57"/>
      <c r="H633" s="51"/>
      <c r="I633" s="52"/>
      <c r="J633" s="76"/>
      <c r="K633" s="77"/>
      <c r="L633" s="77"/>
      <c r="M633" s="78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80"/>
      <c r="AM633" s="81"/>
      <c r="AN633" s="81"/>
      <c r="AO633" s="82"/>
      <c r="AP633" s="54"/>
      <c r="AQ633" s="71"/>
      <c r="AR633" s="71"/>
      <c r="AS633" s="71"/>
      <c r="AT633" s="71"/>
      <c r="AU633" s="71"/>
      <c r="AV633" s="71"/>
      <c r="AW633" s="71"/>
      <c r="AX633" s="71"/>
      <c r="AY633" s="71"/>
      <c r="AZ633" s="54"/>
      <c r="BA633" s="71"/>
      <c r="BB633" s="54"/>
      <c r="BC633" s="73"/>
      <c r="BD633" s="71"/>
      <c r="BF633" s="89"/>
    </row>
    <row r="634" spans="1:58" s="25" customFormat="1" x14ac:dyDescent="0.3">
      <c r="A634" s="19"/>
      <c r="B634" s="66"/>
      <c r="C634" s="67"/>
      <c r="D634" s="67"/>
      <c r="E634" s="43"/>
      <c r="F634" s="44"/>
      <c r="G634" s="58"/>
      <c r="H634" s="44"/>
      <c r="I634" s="45"/>
      <c r="J634" s="68"/>
      <c r="K634" s="69"/>
      <c r="L634" s="69"/>
      <c r="M634" s="70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80"/>
      <c r="AM634" s="81"/>
      <c r="AN634" s="81"/>
      <c r="AO634" s="82"/>
      <c r="AP634" s="54"/>
      <c r="AQ634" s="71"/>
      <c r="AR634" s="71"/>
      <c r="AS634" s="71"/>
      <c r="AT634" s="71"/>
      <c r="AU634" s="71"/>
      <c r="AV634" s="71"/>
      <c r="AW634" s="71"/>
      <c r="AX634" s="71"/>
      <c r="AY634" s="71"/>
      <c r="AZ634" s="54"/>
      <c r="BA634" s="71"/>
      <c r="BB634" s="54"/>
      <c r="BC634" s="54"/>
      <c r="BD634" s="71"/>
      <c r="BF634" s="89"/>
    </row>
    <row r="635" spans="1:58" s="25" customFormat="1" x14ac:dyDescent="0.3">
      <c r="A635" s="19"/>
      <c r="B635" s="74"/>
      <c r="C635" s="75"/>
      <c r="D635" s="75"/>
      <c r="E635" s="50"/>
      <c r="F635" s="51"/>
      <c r="G635" s="57"/>
      <c r="H635" s="51"/>
      <c r="I635" s="52"/>
      <c r="J635" s="76"/>
      <c r="K635" s="77"/>
      <c r="L635" s="77"/>
      <c r="M635" s="78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80"/>
      <c r="AM635" s="81"/>
      <c r="AN635" s="81"/>
      <c r="AO635" s="82"/>
      <c r="AP635" s="54"/>
      <c r="AQ635" s="71"/>
      <c r="AR635" s="71"/>
      <c r="AS635" s="71"/>
      <c r="AT635" s="71"/>
      <c r="AU635" s="71"/>
      <c r="AV635" s="71"/>
      <c r="AW635" s="71"/>
      <c r="AX635" s="71"/>
      <c r="AY635" s="71"/>
      <c r="AZ635" s="54"/>
      <c r="BA635" s="71"/>
      <c r="BB635" s="54"/>
      <c r="BC635" s="73"/>
      <c r="BD635" s="71"/>
      <c r="BF635" s="89"/>
    </row>
    <row r="636" spans="1:58" s="25" customFormat="1" x14ac:dyDescent="0.3">
      <c r="A636" s="19"/>
      <c r="B636" s="74"/>
      <c r="C636" s="75"/>
      <c r="D636" s="75"/>
      <c r="E636" s="50"/>
      <c r="F636" s="51"/>
      <c r="G636" s="57"/>
      <c r="H636" s="51"/>
      <c r="I636" s="52"/>
      <c r="J636" s="76"/>
      <c r="K636" s="77"/>
      <c r="L636" s="77"/>
      <c r="M636" s="78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80"/>
      <c r="AM636" s="81"/>
      <c r="AN636" s="81"/>
      <c r="AO636" s="82"/>
      <c r="AP636" s="54"/>
      <c r="AQ636" s="71"/>
      <c r="AR636" s="71"/>
      <c r="AS636" s="71"/>
      <c r="AT636" s="71"/>
      <c r="AU636" s="71"/>
      <c r="AV636" s="71"/>
      <c r="AW636" s="71"/>
      <c r="AX636" s="71"/>
      <c r="AY636" s="71"/>
      <c r="AZ636" s="54"/>
      <c r="BA636" s="71"/>
      <c r="BB636" s="54"/>
      <c r="BC636" s="73"/>
      <c r="BD636" s="71"/>
      <c r="BF636" s="89"/>
    </row>
    <row r="637" spans="1:58" s="25" customFormat="1" x14ac:dyDescent="0.3">
      <c r="A637" s="19"/>
      <c r="B637" s="74"/>
      <c r="C637" s="75"/>
      <c r="D637" s="75"/>
      <c r="E637" s="50"/>
      <c r="F637" s="51"/>
      <c r="G637" s="57"/>
      <c r="H637" s="51"/>
      <c r="I637" s="52"/>
      <c r="J637" s="76"/>
      <c r="K637" s="77"/>
      <c r="L637" s="77"/>
      <c r="M637" s="78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80"/>
      <c r="AM637" s="81"/>
      <c r="AN637" s="81"/>
      <c r="AO637" s="82"/>
      <c r="AP637" s="54"/>
      <c r="AQ637" s="71"/>
      <c r="AR637" s="71"/>
      <c r="AS637" s="71"/>
      <c r="AT637" s="71"/>
      <c r="AU637" s="71"/>
      <c r="AV637" s="71"/>
      <c r="AW637" s="71"/>
      <c r="AX637" s="71"/>
      <c r="AY637" s="71"/>
      <c r="AZ637" s="54"/>
      <c r="BA637" s="71"/>
      <c r="BB637" s="54"/>
      <c r="BC637" s="73"/>
      <c r="BD637" s="71"/>
      <c r="BF637" s="89"/>
    </row>
    <row r="638" spans="1:58" s="25" customFormat="1" x14ac:dyDescent="0.3">
      <c r="A638" s="19"/>
      <c r="B638" s="74"/>
      <c r="C638" s="75"/>
      <c r="D638" s="75"/>
      <c r="E638" s="50"/>
      <c r="F638" s="51"/>
      <c r="G638" s="57"/>
      <c r="H638" s="51"/>
      <c r="I638" s="52"/>
      <c r="J638" s="76"/>
      <c r="K638" s="77"/>
      <c r="L638" s="77"/>
      <c r="M638" s="78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80"/>
      <c r="AM638" s="81"/>
      <c r="AN638" s="81"/>
      <c r="AO638" s="82"/>
      <c r="AP638" s="54"/>
      <c r="AQ638" s="71"/>
      <c r="AR638" s="71"/>
      <c r="AS638" s="71"/>
      <c r="AT638" s="71"/>
      <c r="AU638" s="71"/>
      <c r="AV638" s="71"/>
      <c r="AW638" s="71"/>
      <c r="AX638" s="71"/>
      <c r="AY638" s="71"/>
      <c r="AZ638" s="54"/>
      <c r="BA638" s="71"/>
      <c r="BB638" s="54"/>
      <c r="BC638" s="73"/>
      <c r="BD638" s="71"/>
      <c r="BF638" s="89"/>
    </row>
    <row r="639" spans="1:58" s="25" customFormat="1" x14ac:dyDescent="0.3">
      <c r="A639" s="19"/>
      <c r="B639" s="74"/>
      <c r="C639" s="75"/>
      <c r="D639" s="75"/>
      <c r="E639" s="50"/>
      <c r="F639" s="51"/>
      <c r="G639" s="57"/>
      <c r="H639" s="51"/>
      <c r="I639" s="52"/>
      <c r="J639" s="76"/>
      <c r="K639" s="77"/>
      <c r="L639" s="77"/>
      <c r="M639" s="78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80"/>
      <c r="AM639" s="81"/>
      <c r="AN639" s="81"/>
      <c r="AO639" s="82"/>
      <c r="AP639" s="54"/>
      <c r="AQ639" s="71"/>
      <c r="AR639" s="71"/>
      <c r="AS639" s="71"/>
      <c r="AT639" s="71"/>
      <c r="AU639" s="71"/>
      <c r="AV639" s="71"/>
      <c r="AW639" s="71"/>
      <c r="AX639" s="71"/>
      <c r="AY639" s="71"/>
      <c r="AZ639" s="54"/>
      <c r="BA639" s="71"/>
      <c r="BB639" s="54"/>
      <c r="BC639" s="73"/>
      <c r="BD639" s="71"/>
      <c r="BF639" s="89"/>
    </row>
    <row r="640" spans="1:58" s="25" customFormat="1" x14ac:dyDescent="0.3">
      <c r="A640" s="19"/>
      <c r="B640" s="66"/>
      <c r="C640" s="67"/>
      <c r="D640" s="67"/>
      <c r="E640" s="43"/>
      <c r="F640" s="44"/>
      <c r="G640" s="58"/>
      <c r="H640" s="44"/>
      <c r="I640" s="45"/>
      <c r="J640" s="68"/>
      <c r="K640" s="69"/>
      <c r="L640" s="69"/>
      <c r="M640" s="70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80"/>
      <c r="AM640" s="81"/>
      <c r="AN640" s="81"/>
      <c r="AO640" s="82"/>
      <c r="AP640" s="54"/>
      <c r="AQ640" s="71"/>
      <c r="AR640" s="71"/>
      <c r="AS640" s="71"/>
      <c r="AT640" s="71"/>
      <c r="AU640" s="71"/>
      <c r="AV640" s="71"/>
      <c r="AW640" s="71"/>
      <c r="AX640" s="71"/>
      <c r="AY640" s="71"/>
      <c r="AZ640" s="54"/>
      <c r="BA640" s="71"/>
      <c r="BB640" s="54"/>
      <c r="BC640" s="54"/>
      <c r="BD640" s="71"/>
      <c r="BF640" s="89"/>
    </row>
    <row r="641" spans="1:58" s="25" customFormat="1" x14ac:dyDescent="0.3">
      <c r="A641" s="19"/>
      <c r="B641" s="74"/>
      <c r="C641" s="75"/>
      <c r="D641" s="75"/>
      <c r="E641" s="50"/>
      <c r="F641" s="51"/>
      <c r="G641" s="57"/>
      <c r="H641" s="51"/>
      <c r="I641" s="52"/>
      <c r="J641" s="76"/>
      <c r="K641" s="77"/>
      <c r="L641" s="77"/>
      <c r="M641" s="78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80"/>
      <c r="AM641" s="81"/>
      <c r="AN641" s="81"/>
      <c r="AO641" s="82"/>
      <c r="AP641" s="54"/>
      <c r="AQ641" s="71"/>
      <c r="AR641" s="71"/>
      <c r="AS641" s="71"/>
      <c r="AT641" s="71"/>
      <c r="AU641" s="71"/>
      <c r="AV641" s="71"/>
      <c r="AW641" s="71"/>
      <c r="AX641" s="71"/>
      <c r="AY641" s="71"/>
      <c r="AZ641" s="54"/>
      <c r="BA641" s="71"/>
      <c r="BB641" s="54"/>
      <c r="BC641" s="73"/>
      <c r="BD641" s="71"/>
      <c r="BF641" s="89"/>
    </row>
    <row r="642" spans="1:58" s="25" customFormat="1" x14ac:dyDescent="0.3">
      <c r="A642" s="19"/>
      <c r="B642" s="74"/>
      <c r="C642" s="75"/>
      <c r="D642" s="75"/>
      <c r="E642" s="50"/>
      <c r="F642" s="51"/>
      <c r="G642" s="57"/>
      <c r="H642" s="51"/>
      <c r="I642" s="52"/>
      <c r="J642" s="76"/>
      <c r="K642" s="77"/>
      <c r="L642" s="77"/>
      <c r="M642" s="78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80"/>
      <c r="AM642" s="81"/>
      <c r="AN642" s="81"/>
      <c r="AO642" s="82"/>
      <c r="AP642" s="54"/>
      <c r="AQ642" s="71"/>
      <c r="AR642" s="71"/>
      <c r="AS642" s="71"/>
      <c r="AT642" s="71"/>
      <c r="AU642" s="71"/>
      <c r="AV642" s="71"/>
      <c r="AW642" s="71"/>
      <c r="AX642" s="71"/>
      <c r="AY642" s="71"/>
      <c r="AZ642" s="54"/>
      <c r="BA642" s="71"/>
      <c r="BB642" s="54"/>
      <c r="BC642" s="73"/>
      <c r="BD642" s="71"/>
      <c r="BF642" s="89"/>
    </row>
    <row r="643" spans="1:58" s="25" customFormat="1" x14ac:dyDescent="0.3">
      <c r="A643" s="19"/>
      <c r="B643" s="74"/>
      <c r="C643" s="75"/>
      <c r="D643" s="75"/>
      <c r="E643" s="50"/>
      <c r="F643" s="51"/>
      <c r="G643" s="57"/>
      <c r="H643" s="51"/>
      <c r="I643" s="52"/>
      <c r="J643" s="76"/>
      <c r="K643" s="77"/>
      <c r="L643" s="77"/>
      <c r="M643" s="78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80"/>
      <c r="AM643" s="81"/>
      <c r="AN643" s="81"/>
      <c r="AO643" s="82"/>
      <c r="AP643" s="54"/>
      <c r="AQ643" s="71"/>
      <c r="AR643" s="71"/>
      <c r="AS643" s="71"/>
      <c r="AT643" s="71"/>
      <c r="AU643" s="71"/>
      <c r="AV643" s="71"/>
      <c r="AW643" s="71"/>
      <c r="AX643" s="71"/>
      <c r="AY643" s="71"/>
      <c r="AZ643" s="54"/>
      <c r="BA643" s="71"/>
      <c r="BB643" s="54"/>
      <c r="BC643" s="73"/>
      <c r="BD643" s="71"/>
      <c r="BF643" s="89"/>
    </row>
    <row r="644" spans="1:58" s="25" customFormat="1" x14ac:dyDescent="0.3">
      <c r="A644" s="19"/>
      <c r="B644" s="74"/>
      <c r="C644" s="75"/>
      <c r="D644" s="75"/>
      <c r="E644" s="50"/>
      <c r="F644" s="51"/>
      <c r="G644" s="57"/>
      <c r="H644" s="51"/>
      <c r="I644" s="52"/>
      <c r="J644" s="76"/>
      <c r="K644" s="77"/>
      <c r="L644" s="77"/>
      <c r="M644" s="78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80"/>
      <c r="AM644" s="81"/>
      <c r="AN644" s="81"/>
      <c r="AO644" s="82"/>
      <c r="AP644" s="54"/>
      <c r="AQ644" s="71"/>
      <c r="AR644" s="71"/>
      <c r="AS644" s="71"/>
      <c r="AT644" s="71"/>
      <c r="AU644" s="71"/>
      <c r="AV644" s="71"/>
      <c r="AW644" s="71"/>
      <c r="AX644" s="71"/>
      <c r="AY644" s="71"/>
      <c r="AZ644" s="54"/>
      <c r="BA644" s="71"/>
      <c r="BB644" s="54"/>
      <c r="BC644" s="73"/>
      <c r="BD644" s="71"/>
      <c r="BF644" s="89"/>
    </row>
    <row r="645" spans="1:58" s="25" customFormat="1" x14ac:dyDescent="0.3">
      <c r="A645" s="19"/>
      <c r="B645" s="74"/>
      <c r="C645" s="75"/>
      <c r="D645" s="75"/>
      <c r="E645" s="50"/>
      <c r="F645" s="51"/>
      <c r="G645" s="57"/>
      <c r="H645" s="51"/>
      <c r="I645" s="52"/>
      <c r="J645" s="76"/>
      <c r="K645" s="77"/>
      <c r="L645" s="77"/>
      <c r="M645" s="78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80"/>
      <c r="AM645" s="81"/>
      <c r="AN645" s="81"/>
      <c r="AO645" s="82"/>
      <c r="AP645" s="54"/>
      <c r="AQ645" s="71"/>
      <c r="AR645" s="71"/>
      <c r="AS645" s="71"/>
      <c r="AT645" s="71"/>
      <c r="AU645" s="71"/>
      <c r="AV645" s="71"/>
      <c r="AW645" s="71"/>
      <c r="AX645" s="71"/>
      <c r="AY645" s="71"/>
      <c r="AZ645" s="54"/>
      <c r="BA645" s="71"/>
      <c r="BB645" s="54"/>
      <c r="BC645" s="73"/>
      <c r="BD645" s="71"/>
      <c r="BF645" s="89"/>
    </row>
    <row r="646" spans="1:58" s="25" customFormat="1" x14ac:dyDescent="0.3">
      <c r="A646" s="19"/>
      <c r="B646" s="74"/>
      <c r="C646" s="75"/>
      <c r="D646" s="75"/>
      <c r="E646" s="50"/>
      <c r="F646" s="51"/>
      <c r="G646" s="57"/>
      <c r="H646" s="51"/>
      <c r="I646" s="52"/>
      <c r="J646" s="76"/>
      <c r="K646" s="77"/>
      <c r="L646" s="77"/>
      <c r="M646" s="78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80"/>
      <c r="AM646" s="81"/>
      <c r="AN646" s="81"/>
      <c r="AO646" s="82"/>
      <c r="AP646" s="54"/>
      <c r="AQ646" s="71"/>
      <c r="AR646" s="71"/>
      <c r="AS646" s="71"/>
      <c r="AT646" s="71"/>
      <c r="AU646" s="71"/>
      <c r="AV646" s="71"/>
      <c r="AW646" s="71"/>
      <c r="AX646" s="71"/>
      <c r="AY646" s="71"/>
      <c r="AZ646" s="54"/>
      <c r="BA646" s="71"/>
      <c r="BB646" s="54"/>
      <c r="BC646" s="73"/>
      <c r="BD646" s="71"/>
      <c r="BF646" s="89"/>
    </row>
    <row r="647" spans="1:58" s="25" customFormat="1" x14ac:dyDescent="0.3">
      <c r="A647" s="19"/>
      <c r="B647" s="74"/>
      <c r="C647" s="75"/>
      <c r="D647" s="75"/>
      <c r="E647" s="50"/>
      <c r="F647" s="51"/>
      <c r="G647" s="57"/>
      <c r="H647" s="51"/>
      <c r="I647" s="52"/>
      <c r="J647" s="76"/>
      <c r="K647" s="77"/>
      <c r="L647" s="77"/>
      <c r="M647" s="78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80"/>
      <c r="AM647" s="81"/>
      <c r="AN647" s="81"/>
      <c r="AO647" s="82"/>
      <c r="AP647" s="54"/>
      <c r="AQ647" s="71"/>
      <c r="AR647" s="71"/>
      <c r="AS647" s="71"/>
      <c r="AT647" s="71"/>
      <c r="AU647" s="71"/>
      <c r="AV647" s="71"/>
      <c r="AW647" s="71"/>
      <c r="AX647" s="71"/>
      <c r="AY647" s="71"/>
      <c r="AZ647" s="54"/>
      <c r="BA647" s="71"/>
      <c r="BB647" s="54"/>
      <c r="BC647" s="73"/>
      <c r="BD647" s="71"/>
      <c r="BF647" s="89"/>
    </row>
    <row r="648" spans="1:58" s="25" customFormat="1" x14ac:dyDescent="0.3">
      <c r="A648" s="19"/>
      <c r="B648" s="74"/>
      <c r="C648" s="75"/>
      <c r="D648" s="75"/>
      <c r="E648" s="50"/>
      <c r="F648" s="51"/>
      <c r="G648" s="57"/>
      <c r="H648" s="51"/>
      <c r="I648" s="52"/>
      <c r="J648" s="76"/>
      <c r="K648" s="77"/>
      <c r="L648" s="77"/>
      <c r="M648" s="78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80"/>
      <c r="AM648" s="81"/>
      <c r="AN648" s="81"/>
      <c r="AO648" s="82"/>
      <c r="AP648" s="54"/>
      <c r="AQ648" s="71"/>
      <c r="AR648" s="71"/>
      <c r="AS648" s="71"/>
      <c r="AT648" s="71"/>
      <c r="AU648" s="71"/>
      <c r="AV648" s="71"/>
      <c r="AW648" s="71"/>
      <c r="AX648" s="71"/>
      <c r="AY648" s="71"/>
      <c r="AZ648" s="54"/>
      <c r="BA648" s="71"/>
      <c r="BB648" s="54"/>
      <c r="BC648" s="73"/>
      <c r="BD648" s="71"/>
      <c r="BF648" s="89"/>
    </row>
    <row r="649" spans="1:58" s="25" customFormat="1" x14ac:dyDescent="0.3">
      <c r="A649" s="19"/>
      <c r="B649" s="74"/>
      <c r="C649" s="75"/>
      <c r="D649" s="75"/>
      <c r="E649" s="50"/>
      <c r="F649" s="51"/>
      <c r="G649" s="57"/>
      <c r="H649" s="51"/>
      <c r="I649" s="52"/>
      <c r="J649" s="76"/>
      <c r="K649" s="77"/>
      <c r="L649" s="77"/>
      <c r="M649" s="78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80"/>
      <c r="AM649" s="81"/>
      <c r="AN649" s="81"/>
      <c r="AO649" s="82"/>
      <c r="AP649" s="54"/>
      <c r="AQ649" s="71"/>
      <c r="AR649" s="71"/>
      <c r="AS649" s="71"/>
      <c r="AT649" s="71"/>
      <c r="AU649" s="71"/>
      <c r="AV649" s="71"/>
      <c r="AW649" s="71"/>
      <c r="AX649" s="71"/>
      <c r="AY649" s="71"/>
      <c r="AZ649" s="54"/>
      <c r="BA649" s="71"/>
      <c r="BB649" s="54"/>
      <c r="BC649" s="73"/>
      <c r="BD649" s="71"/>
      <c r="BF649" s="89"/>
    </row>
    <row r="650" spans="1:58" s="25" customFormat="1" x14ac:dyDescent="0.3">
      <c r="A650" s="19"/>
      <c r="B650" s="74"/>
      <c r="C650" s="75"/>
      <c r="D650" s="75"/>
      <c r="E650" s="50"/>
      <c r="F650" s="51"/>
      <c r="G650" s="57"/>
      <c r="H650" s="51"/>
      <c r="I650" s="52"/>
      <c r="J650" s="76"/>
      <c r="K650" s="77"/>
      <c r="L650" s="77"/>
      <c r="M650" s="78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80"/>
      <c r="AM650" s="81"/>
      <c r="AN650" s="81"/>
      <c r="AO650" s="82"/>
      <c r="AP650" s="54"/>
      <c r="AQ650" s="71"/>
      <c r="AR650" s="71"/>
      <c r="AS650" s="71"/>
      <c r="AT650" s="71"/>
      <c r="AU650" s="71"/>
      <c r="AV650" s="71"/>
      <c r="AW650" s="71"/>
      <c r="AX650" s="71"/>
      <c r="AY650" s="71"/>
      <c r="AZ650" s="54"/>
      <c r="BA650" s="71"/>
      <c r="BB650" s="54"/>
      <c r="BC650" s="73"/>
      <c r="BD650" s="71"/>
      <c r="BF650" s="89"/>
    </row>
    <row r="651" spans="1:58" s="25" customFormat="1" x14ac:dyDescent="0.3">
      <c r="A651" s="19"/>
      <c r="B651" s="74"/>
      <c r="C651" s="75"/>
      <c r="D651" s="75"/>
      <c r="E651" s="50"/>
      <c r="F651" s="51"/>
      <c r="G651" s="57"/>
      <c r="H651" s="51"/>
      <c r="I651" s="52"/>
      <c r="J651" s="76"/>
      <c r="K651" s="77"/>
      <c r="L651" s="77"/>
      <c r="M651" s="78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80"/>
      <c r="AM651" s="81"/>
      <c r="AN651" s="81"/>
      <c r="AO651" s="82"/>
      <c r="AP651" s="54"/>
      <c r="AQ651" s="71"/>
      <c r="AR651" s="71"/>
      <c r="AS651" s="71"/>
      <c r="AT651" s="71"/>
      <c r="AU651" s="71"/>
      <c r="AV651" s="71"/>
      <c r="AW651" s="71"/>
      <c r="AX651" s="71"/>
      <c r="AY651" s="71"/>
      <c r="AZ651" s="54"/>
      <c r="BA651" s="71"/>
      <c r="BB651" s="54"/>
      <c r="BC651" s="73"/>
      <c r="BD651" s="71"/>
      <c r="BF651" s="89"/>
    </row>
    <row r="652" spans="1:58" s="25" customFormat="1" x14ac:dyDescent="0.3">
      <c r="A652" s="19"/>
      <c r="B652" s="74"/>
      <c r="C652" s="75"/>
      <c r="D652" s="75"/>
      <c r="E652" s="50"/>
      <c r="F652" s="51"/>
      <c r="G652" s="57"/>
      <c r="H652" s="51"/>
      <c r="I652" s="52"/>
      <c r="J652" s="76"/>
      <c r="K652" s="77"/>
      <c r="L652" s="77"/>
      <c r="M652" s="78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80"/>
      <c r="AM652" s="81"/>
      <c r="AN652" s="81"/>
      <c r="AO652" s="82"/>
      <c r="AP652" s="54"/>
      <c r="AQ652" s="71"/>
      <c r="AR652" s="71"/>
      <c r="AS652" s="71"/>
      <c r="AT652" s="71"/>
      <c r="AU652" s="71"/>
      <c r="AV652" s="71"/>
      <c r="AW652" s="71"/>
      <c r="AX652" s="71"/>
      <c r="AY652" s="71"/>
      <c r="AZ652" s="54"/>
      <c r="BA652" s="71"/>
      <c r="BB652" s="54"/>
      <c r="BC652" s="73"/>
      <c r="BD652" s="71"/>
      <c r="BF652" s="89"/>
    </row>
    <row r="653" spans="1:58" s="25" customFormat="1" x14ac:dyDescent="0.3">
      <c r="A653" s="19"/>
      <c r="B653" s="74"/>
      <c r="C653" s="75"/>
      <c r="D653" s="75"/>
      <c r="E653" s="50"/>
      <c r="F653" s="51"/>
      <c r="G653" s="57"/>
      <c r="H653" s="51"/>
      <c r="I653" s="52"/>
      <c r="J653" s="76"/>
      <c r="K653" s="77"/>
      <c r="L653" s="77"/>
      <c r="M653" s="78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80"/>
      <c r="AM653" s="81"/>
      <c r="AN653" s="81"/>
      <c r="AO653" s="82"/>
      <c r="AP653" s="54"/>
      <c r="AQ653" s="71"/>
      <c r="AR653" s="71"/>
      <c r="AS653" s="71"/>
      <c r="AT653" s="71"/>
      <c r="AU653" s="71"/>
      <c r="AV653" s="71"/>
      <c r="AW653" s="71"/>
      <c r="AX653" s="71"/>
      <c r="AY653" s="71"/>
      <c r="AZ653" s="54"/>
      <c r="BA653" s="71"/>
      <c r="BB653" s="54"/>
      <c r="BC653" s="73"/>
      <c r="BD653" s="71"/>
      <c r="BF653" s="89"/>
    </row>
    <row r="654" spans="1:58" s="25" customFormat="1" x14ac:dyDescent="0.3">
      <c r="A654" s="19"/>
      <c r="B654" s="74"/>
      <c r="C654" s="75"/>
      <c r="D654" s="75"/>
      <c r="E654" s="50"/>
      <c r="F654" s="51"/>
      <c r="G654" s="57"/>
      <c r="H654" s="51"/>
      <c r="I654" s="52"/>
      <c r="J654" s="76"/>
      <c r="K654" s="77"/>
      <c r="L654" s="77"/>
      <c r="M654" s="78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80"/>
      <c r="AM654" s="81"/>
      <c r="AN654" s="81"/>
      <c r="AO654" s="82"/>
      <c r="AP654" s="54"/>
      <c r="AQ654" s="71"/>
      <c r="AR654" s="71"/>
      <c r="AS654" s="71"/>
      <c r="AT654" s="71"/>
      <c r="AU654" s="71"/>
      <c r="AV654" s="71"/>
      <c r="AW654" s="71"/>
      <c r="AX654" s="71"/>
      <c r="AY654" s="71"/>
      <c r="AZ654" s="54"/>
      <c r="BA654" s="71"/>
      <c r="BB654" s="54"/>
      <c r="BC654" s="73"/>
      <c r="BD654" s="71"/>
      <c r="BF654" s="89"/>
    </row>
    <row r="655" spans="1:58" s="25" customFormat="1" x14ac:dyDescent="0.3">
      <c r="A655" s="19"/>
      <c r="B655" s="74"/>
      <c r="C655" s="75"/>
      <c r="D655" s="75"/>
      <c r="E655" s="50"/>
      <c r="F655" s="51"/>
      <c r="G655" s="57"/>
      <c r="H655" s="51"/>
      <c r="I655" s="52"/>
      <c r="J655" s="76"/>
      <c r="K655" s="77"/>
      <c r="L655" s="77"/>
      <c r="M655" s="78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80"/>
      <c r="AM655" s="81"/>
      <c r="AN655" s="81"/>
      <c r="AO655" s="82"/>
      <c r="AP655" s="54"/>
      <c r="AQ655" s="71"/>
      <c r="AR655" s="71"/>
      <c r="AS655" s="71"/>
      <c r="AT655" s="71"/>
      <c r="AU655" s="71"/>
      <c r="AV655" s="71"/>
      <c r="AW655" s="71"/>
      <c r="AX655" s="71"/>
      <c r="AY655" s="71"/>
      <c r="AZ655" s="54"/>
      <c r="BA655" s="71"/>
      <c r="BB655" s="54"/>
      <c r="BC655" s="73"/>
      <c r="BD655" s="71"/>
      <c r="BF655" s="89"/>
    </row>
    <row r="656" spans="1:58" s="25" customFormat="1" x14ac:dyDescent="0.3">
      <c r="A656" s="19"/>
      <c r="B656" s="74"/>
      <c r="C656" s="75"/>
      <c r="D656" s="75"/>
      <c r="E656" s="50"/>
      <c r="F656" s="51"/>
      <c r="G656" s="57"/>
      <c r="H656" s="51"/>
      <c r="I656" s="52"/>
      <c r="J656" s="76"/>
      <c r="K656" s="77"/>
      <c r="L656" s="77"/>
      <c r="M656" s="78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80"/>
      <c r="AM656" s="81"/>
      <c r="AN656" s="81"/>
      <c r="AO656" s="82"/>
      <c r="AP656" s="54"/>
      <c r="AQ656" s="71"/>
      <c r="AR656" s="71"/>
      <c r="AS656" s="71"/>
      <c r="AT656" s="71"/>
      <c r="AU656" s="71"/>
      <c r="AV656" s="71"/>
      <c r="AW656" s="71"/>
      <c r="AX656" s="71"/>
      <c r="AY656" s="71"/>
      <c r="AZ656" s="54"/>
      <c r="BA656" s="71"/>
      <c r="BB656" s="54"/>
      <c r="BC656" s="73"/>
      <c r="BD656" s="71"/>
      <c r="BF656" s="89"/>
    </row>
    <row r="657" spans="1:58" s="25" customFormat="1" x14ac:dyDescent="0.3">
      <c r="A657" s="19"/>
      <c r="B657" s="74"/>
      <c r="C657" s="75"/>
      <c r="D657" s="75"/>
      <c r="E657" s="50"/>
      <c r="F657" s="51"/>
      <c r="G657" s="57"/>
      <c r="H657" s="51"/>
      <c r="I657" s="52"/>
      <c r="J657" s="76"/>
      <c r="K657" s="77"/>
      <c r="L657" s="77"/>
      <c r="M657" s="78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80"/>
      <c r="AM657" s="81"/>
      <c r="AN657" s="81"/>
      <c r="AO657" s="82"/>
      <c r="AP657" s="54"/>
      <c r="AQ657" s="71"/>
      <c r="AR657" s="71"/>
      <c r="AS657" s="71"/>
      <c r="AT657" s="71"/>
      <c r="AU657" s="71"/>
      <c r="AV657" s="71"/>
      <c r="AW657" s="71"/>
      <c r="AX657" s="71"/>
      <c r="AY657" s="71"/>
      <c r="AZ657" s="54"/>
      <c r="BA657" s="71"/>
      <c r="BB657" s="54"/>
      <c r="BC657" s="73"/>
      <c r="BD657" s="71"/>
      <c r="BF657" s="89"/>
    </row>
    <row r="658" spans="1:58" s="25" customFormat="1" x14ac:dyDescent="0.3">
      <c r="A658" s="19"/>
      <c r="B658" s="74"/>
      <c r="C658" s="75"/>
      <c r="D658" s="75"/>
      <c r="E658" s="50"/>
      <c r="F658" s="51"/>
      <c r="G658" s="57"/>
      <c r="H658" s="51"/>
      <c r="I658" s="52"/>
      <c r="J658" s="76"/>
      <c r="K658" s="77"/>
      <c r="L658" s="77"/>
      <c r="M658" s="78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80"/>
      <c r="AM658" s="81"/>
      <c r="AN658" s="81"/>
      <c r="AO658" s="82"/>
      <c r="AP658" s="54"/>
      <c r="AQ658" s="71"/>
      <c r="AR658" s="71"/>
      <c r="AS658" s="71"/>
      <c r="AT658" s="71"/>
      <c r="AU658" s="71"/>
      <c r="AV658" s="71"/>
      <c r="AW658" s="71"/>
      <c r="AX658" s="71"/>
      <c r="AY658" s="71"/>
      <c r="AZ658" s="54"/>
      <c r="BA658" s="71"/>
      <c r="BB658" s="54"/>
      <c r="BC658" s="73"/>
      <c r="BD658" s="71"/>
      <c r="BF658" s="89"/>
    </row>
    <row r="659" spans="1:58" s="25" customFormat="1" x14ac:dyDescent="0.3">
      <c r="A659" s="19"/>
      <c r="B659" s="74"/>
      <c r="C659" s="75"/>
      <c r="D659" s="75"/>
      <c r="E659" s="50"/>
      <c r="F659" s="51"/>
      <c r="G659" s="57"/>
      <c r="H659" s="51"/>
      <c r="I659" s="52"/>
      <c r="J659" s="76"/>
      <c r="K659" s="77"/>
      <c r="L659" s="77"/>
      <c r="M659" s="78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80"/>
      <c r="AM659" s="81"/>
      <c r="AN659" s="81"/>
      <c r="AO659" s="82"/>
      <c r="AP659" s="54"/>
      <c r="AQ659" s="71"/>
      <c r="AR659" s="71"/>
      <c r="AS659" s="71"/>
      <c r="AT659" s="71"/>
      <c r="AU659" s="71"/>
      <c r="AV659" s="71"/>
      <c r="AW659" s="71"/>
      <c r="AX659" s="71"/>
      <c r="AY659" s="71"/>
      <c r="AZ659" s="54"/>
      <c r="BA659" s="71"/>
      <c r="BB659" s="54"/>
      <c r="BC659" s="73"/>
      <c r="BD659" s="71"/>
      <c r="BF659" s="89"/>
    </row>
    <row r="660" spans="1:58" s="25" customFormat="1" x14ac:dyDescent="0.3">
      <c r="A660" s="19"/>
      <c r="B660" s="74"/>
      <c r="C660" s="75"/>
      <c r="D660" s="75"/>
      <c r="E660" s="50"/>
      <c r="F660" s="51"/>
      <c r="G660" s="57"/>
      <c r="H660" s="51"/>
      <c r="I660" s="52"/>
      <c r="J660" s="76"/>
      <c r="K660" s="77"/>
      <c r="L660" s="77"/>
      <c r="M660" s="78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80"/>
      <c r="AM660" s="81"/>
      <c r="AN660" s="81"/>
      <c r="AO660" s="82"/>
      <c r="AP660" s="54"/>
      <c r="AQ660" s="71"/>
      <c r="AR660" s="71"/>
      <c r="AS660" s="71"/>
      <c r="AT660" s="71"/>
      <c r="AU660" s="71"/>
      <c r="AV660" s="71"/>
      <c r="AW660" s="71"/>
      <c r="AX660" s="71"/>
      <c r="AY660" s="71"/>
      <c r="AZ660" s="54"/>
      <c r="BA660" s="71"/>
      <c r="BB660" s="54"/>
      <c r="BC660" s="73"/>
      <c r="BD660" s="71"/>
      <c r="BF660" s="89"/>
    </row>
    <row r="661" spans="1:58" s="25" customFormat="1" x14ac:dyDescent="0.3">
      <c r="A661" s="19"/>
      <c r="B661" s="74"/>
      <c r="C661" s="75"/>
      <c r="D661" s="75"/>
      <c r="E661" s="50"/>
      <c r="F661" s="51"/>
      <c r="G661" s="57"/>
      <c r="H661" s="51"/>
      <c r="I661" s="52"/>
      <c r="J661" s="76"/>
      <c r="K661" s="77"/>
      <c r="L661" s="77"/>
      <c r="M661" s="78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80"/>
      <c r="AM661" s="81"/>
      <c r="AN661" s="81"/>
      <c r="AO661" s="82"/>
      <c r="AP661" s="54"/>
      <c r="AQ661" s="71"/>
      <c r="AR661" s="71"/>
      <c r="AS661" s="71"/>
      <c r="AT661" s="71"/>
      <c r="AU661" s="71"/>
      <c r="AV661" s="71"/>
      <c r="AW661" s="71"/>
      <c r="AX661" s="71"/>
      <c r="AY661" s="71"/>
      <c r="AZ661" s="54"/>
      <c r="BA661" s="71"/>
      <c r="BB661" s="54"/>
      <c r="BC661" s="73"/>
      <c r="BD661" s="71"/>
      <c r="BF661" s="89"/>
    </row>
    <row r="662" spans="1:58" s="25" customFormat="1" x14ac:dyDescent="0.3">
      <c r="A662" s="19"/>
      <c r="B662" s="74"/>
      <c r="C662" s="75"/>
      <c r="D662" s="75"/>
      <c r="E662" s="50"/>
      <c r="F662" s="51"/>
      <c r="G662" s="57"/>
      <c r="H662" s="51"/>
      <c r="I662" s="52"/>
      <c r="J662" s="76"/>
      <c r="K662" s="77"/>
      <c r="L662" s="77"/>
      <c r="M662" s="78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80"/>
      <c r="AM662" s="81"/>
      <c r="AN662" s="81"/>
      <c r="AO662" s="82"/>
      <c r="AP662" s="54"/>
      <c r="AQ662" s="71"/>
      <c r="AR662" s="71"/>
      <c r="AS662" s="71"/>
      <c r="AT662" s="71"/>
      <c r="AU662" s="71"/>
      <c r="AV662" s="71"/>
      <c r="AW662" s="71"/>
      <c r="AX662" s="71"/>
      <c r="AY662" s="71"/>
      <c r="AZ662" s="54"/>
      <c r="BA662" s="71"/>
      <c r="BB662" s="54"/>
      <c r="BC662" s="73"/>
      <c r="BD662" s="71"/>
      <c r="BF662" s="89"/>
    </row>
    <row r="663" spans="1:58" s="25" customFormat="1" x14ac:dyDescent="0.3">
      <c r="A663" s="19"/>
      <c r="B663" s="74"/>
      <c r="C663" s="75"/>
      <c r="D663" s="75"/>
      <c r="E663" s="50"/>
      <c r="F663" s="51"/>
      <c r="G663" s="57"/>
      <c r="H663" s="51"/>
      <c r="I663" s="52"/>
      <c r="J663" s="76"/>
      <c r="K663" s="77"/>
      <c r="L663" s="77"/>
      <c r="M663" s="78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80"/>
      <c r="AM663" s="81"/>
      <c r="AN663" s="81"/>
      <c r="AO663" s="82"/>
      <c r="AP663" s="54"/>
      <c r="AQ663" s="71"/>
      <c r="AR663" s="71"/>
      <c r="AS663" s="71"/>
      <c r="AT663" s="71"/>
      <c r="AU663" s="71"/>
      <c r="AV663" s="71"/>
      <c r="AW663" s="71"/>
      <c r="AX663" s="71"/>
      <c r="AY663" s="71"/>
      <c r="AZ663" s="54"/>
      <c r="BA663" s="71"/>
      <c r="BB663" s="54"/>
      <c r="BC663" s="73"/>
      <c r="BD663" s="71"/>
      <c r="BF663" s="89"/>
    </row>
    <row r="664" spans="1:58" s="25" customFormat="1" x14ac:dyDescent="0.3">
      <c r="A664" s="19"/>
      <c r="B664" s="74"/>
      <c r="C664" s="75"/>
      <c r="D664" s="75"/>
      <c r="E664" s="50"/>
      <c r="F664" s="51"/>
      <c r="G664" s="57"/>
      <c r="H664" s="51"/>
      <c r="I664" s="52"/>
      <c r="J664" s="76"/>
      <c r="K664" s="77"/>
      <c r="L664" s="77"/>
      <c r="M664" s="78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80"/>
      <c r="AM664" s="81"/>
      <c r="AN664" s="81"/>
      <c r="AO664" s="82"/>
      <c r="AP664" s="54"/>
      <c r="AQ664" s="71"/>
      <c r="AR664" s="71"/>
      <c r="AS664" s="71"/>
      <c r="AT664" s="71"/>
      <c r="AU664" s="71"/>
      <c r="AV664" s="71"/>
      <c r="AW664" s="71"/>
      <c r="AX664" s="71"/>
      <c r="AY664" s="71"/>
      <c r="AZ664" s="54"/>
      <c r="BA664" s="71"/>
      <c r="BB664" s="54"/>
      <c r="BC664" s="73"/>
      <c r="BD664" s="71"/>
      <c r="BF664" s="89"/>
    </row>
    <row r="665" spans="1:58" s="25" customFormat="1" x14ac:dyDescent="0.3">
      <c r="A665" s="19"/>
      <c r="B665" s="74"/>
      <c r="C665" s="75"/>
      <c r="D665" s="75"/>
      <c r="E665" s="50"/>
      <c r="F665" s="51"/>
      <c r="G665" s="57"/>
      <c r="H665" s="51"/>
      <c r="I665" s="52"/>
      <c r="J665" s="76"/>
      <c r="K665" s="77"/>
      <c r="L665" s="77"/>
      <c r="M665" s="78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80"/>
      <c r="AM665" s="81"/>
      <c r="AN665" s="81"/>
      <c r="AO665" s="82"/>
      <c r="AP665" s="54"/>
      <c r="AQ665" s="71"/>
      <c r="AR665" s="71"/>
      <c r="AS665" s="71"/>
      <c r="AT665" s="71"/>
      <c r="AU665" s="71"/>
      <c r="AV665" s="71"/>
      <c r="AW665" s="71"/>
      <c r="AX665" s="71"/>
      <c r="AY665" s="71"/>
      <c r="AZ665" s="54"/>
      <c r="BA665" s="71"/>
      <c r="BB665" s="54"/>
      <c r="BC665" s="73"/>
      <c r="BD665" s="71"/>
      <c r="BF665" s="89"/>
    </row>
    <row r="666" spans="1:58" s="25" customFormat="1" x14ac:dyDescent="0.3">
      <c r="A666" s="19"/>
      <c r="B666" s="74"/>
      <c r="C666" s="75"/>
      <c r="D666" s="75"/>
      <c r="E666" s="50"/>
      <c r="F666" s="51"/>
      <c r="G666" s="57"/>
      <c r="H666" s="51"/>
      <c r="I666" s="52"/>
      <c r="J666" s="76"/>
      <c r="K666" s="77"/>
      <c r="L666" s="77"/>
      <c r="M666" s="78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80"/>
      <c r="AM666" s="81"/>
      <c r="AN666" s="81"/>
      <c r="AO666" s="82"/>
      <c r="AP666" s="54"/>
      <c r="AQ666" s="71"/>
      <c r="AR666" s="71"/>
      <c r="AS666" s="71"/>
      <c r="AT666" s="71"/>
      <c r="AU666" s="71"/>
      <c r="AV666" s="71"/>
      <c r="AW666" s="71"/>
      <c r="AX666" s="71"/>
      <c r="AY666" s="71"/>
      <c r="AZ666" s="54"/>
      <c r="BA666" s="71"/>
      <c r="BB666" s="54"/>
      <c r="BC666" s="73"/>
      <c r="BD666" s="71"/>
      <c r="BF666" s="89"/>
    </row>
    <row r="667" spans="1:58" s="25" customFormat="1" x14ac:dyDescent="0.3">
      <c r="A667" s="19"/>
      <c r="B667" s="74"/>
      <c r="C667" s="75"/>
      <c r="D667" s="75"/>
      <c r="E667" s="50"/>
      <c r="F667" s="51"/>
      <c r="G667" s="57"/>
      <c r="H667" s="51"/>
      <c r="I667" s="52"/>
      <c r="J667" s="76"/>
      <c r="K667" s="77"/>
      <c r="L667" s="77"/>
      <c r="M667" s="78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80"/>
      <c r="AM667" s="81"/>
      <c r="AN667" s="81"/>
      <c r="AO667" s="82"/>
      <c r="AP667" s="54"/>
      <c r="AQ667" s="71"/>
      <c r="AR667" s="71"/>
      <c r="AS667" s="71"/>
      <c r="AT667" s="71"/>
      <c r="AU667" s="71"/>
      <c r="AV667" s="71"/>
      <c r="AW667" s="71"/>
      <c r="AX667" s="71"/>
      <c r="AY667" s="71"/>
      <c r="AZ667" s="54"/>
      <c r="BA667" s="71"/>
      <c r="BB667" s="54"/>
      <c r="BC667" s="73"/>
      <c r="BD667" s="71"/>
      <c r="BF667" s="89"/>
    </row>
    <row r="668" spans="1:58" s="25" customFormat="1" x14ac:dyDescent="0.3">
      <c r="A668" s="19"/>
      <c r="B668" s="74"/>
      <c r="C668" s="75"/>
      <c r="D668" s="75"/>
      <c r="E668" s="50"/>
      <c r="F668" s="51"/>
      <c r="G668" s="57"/>
      <c r="H668" s="51"/>
      <c r="I668" s="52"/>
      <c r="J668" s="76"/>
      <c r="K668" s="77"/>
      <c r="L668" s="77"/>
      <c r="M668" s="78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80"/>
      <c r="AM668" s="81"/>
      <c r="AN668" s="81"/>
      <c r="AO668" s="82"/>
      <c r="AP668" s="54"/>
      <c r="AQ668" s="71"/>
      <c r="AR668" s="71"/>
      <c r="AS668" s="71"/>
      <c r="AT668" s="71"/>
      <c r="AU668" s="71"/>
      <c r="AV668" s="71"/>
      <c r="AW668" s="71"/>
      <c r="AX668" s="71"/>
      <c r="AY668" s="71"/>
      <c r="AZ668" s="54"/>
      <c r="BA668" s="71"/>
      <c r="BB668" s="54"/>
      <c r="BC668" s="73"/>
      <c r="BD668" s="71"/>
      <c r="BF668" s="89"/>
    </row>
    <row r="669" spans="1:58" s="25" customFormat="1" x14ac:dyDescent="0.3">
      <c r="A669" s="19"/>
      <c r="B669" s="74"/>
      <c r="C669" s="75"/>
      <c r="D669" s="75"/>
      <c r="E669" s="50"/>
      <c r="F669" s="51"/>
      <c r="G669" s="57"/>
      <c r="H669" s="51"/>
      <c r="I669" s="52"/>
      <c r="J669" s="76"/>
      <c r="K669" s="77"/>
      <c r="L669" s="77"/>
      <c r="M669" s="78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80"/>
      <c r="AM669" s="81"/>
      <c r="AN669" s="81"/>
      <c r="AO669" s="82"/>
      <c r="AP669" s="54"/>
      <c r="AQ669" s="71"/>
      <c r="AR669" s="71"/>
      <c r="AS669" s="71"/>
      <c r="AT669" s="71"/>
      <c r="AU669" s="71"/>
      <c r="AV669" s="71"/>
      <c r="AW669" s="71"/>
      <c r="AX669" s="71"/>
      <c r="AY669" s="71"/>
      <c r="AZ669" s="54"/>
      <c r="BA669" s="71"/>
      <c r="BB669" s="54"/>
      <c r="BC669" s="73"/>
      <c r="BD669" s="71"/>
      <c r="BF669" s="89"/>
    </row>
    <row r="670" spans="1:58" s="25" customFormat="1" x14ac:dyDescent="0.3">
      <c r="A670" s="19"/>
      <c r="B670" s="74"/>
      <c r="C670" s="75"/>
      <c r="D670" s="75"/>
      <c r="E670" s="50"/>
      <c r="F670" s="51"/>
      <c r="G670" s="57"/>
      <c r="H670" s="51"/>
      <c r="I670" s="52"/>
      <c r="J670" s="76"/>
      <c r="K670" s="77"/>
      <c r="L670" s="77"/>
      <c r="M670" s="78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80"/>
      <c r="AM670" s="81"/>
      <c r="AN670" s="81"/>
      <c r="AO670" s="82"/>
      <c r="AP670" s="54"/>
      <c r="AQ670" s="71"/>
      <c r="AR670" s="71"/>
      <c r="AS670" s="71"/>
      <c r="AT670" s="71"/>
      <c r="AU670" s="71"/>
      <c r="AV670" s="71"/>
      <c r="AW670" s="71"/>
      <c r="AX670" s="71"/>
      <c r="AY670" s="71"/>
      <c r="AZ670" s="54"/>
      <c r="BA670" s="71"/>
      <c r="BB670" s="54"/>
      <c r="BC670" s="73"/>
      <c r="BD670" s="71"/>
      <c r="BF670" s="89"/>
    </row>
    <row r="671" spans="1:58" s="25" customFormat="1" x14ac:dyDescent="0.3">
      <c r="A671" s="19"/>
      <c r="B671" s="74"/>
      <c r="C671" s="75"/>
      <c r="D671" s="75"/>
      <c r="E671" s="50"/>
      <c r="F671" s="51"/>
      <c r="G671" s="57"/>
      <c r="H671" s="51"/>
      <c r="I671" s="52"/>
      <c r="J671" s="76"/>
      <c r="K671" s="77"/>
      <c r="L671" s="77"/>
      <c r="M671" s="78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80"/>
      <c r="AM671" s="81"/>
      <c r="AN671" s="81"/>
      <c r="AO671" s="82"/>
      <c r="AP671" s="54"/>
      <c r="AQ671" s="71"/>
      <c r="AR671" s="71"/>
      <c r="AS671" s="71"/>
      <c r="AT671" s="71"/>
      <c r="AU671" s="71"/>
      <c r="AV671" s="71"/>
      <c r="AW671" s="71"/>
      <c r="AX671" s="71"/>
      <c r="AY671" s="71"/>
      <c r="AZ671" s="54"/>
      <c r="BA671" s="71"/>
      <c r="BB671" s="54"/>
      <c r="BC671" s="73"/>
      <c r="BD671" s="71"/>
      <c r="BF671" s="89"/>
    </row>
    <row r="672" spans="1:58" s="25" customFormat="1" x14ac:dyDescent="0.3">
      <c r="A672" s="19"/>
      <c r="B672" s="74"/>
      <c r="C672" s="75"/>
      <c r="D672" s="75"/>
      <c r="E672" s="50"/>
      <c r="F672" s="51"/>
      <c r="G672" s="57"/>
      <c r="H672" s="51"/>
      <c r="I672" s="52"/>
      <c r="J672" s="76"/>
      <c r="K672" s="77"/>
      <c r="L672" s="77"/>
      <c r="M672" s="78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80"/>
      <c r="AM672" s="81"/>
      <c r="AN672" s="81"/>
      <c r="AO672" s="82"/>
      <c r="AP672" s="54"/>
      <c r="AQ672" s="71"/>
      <c r="AR672" s="71"/>
      <c r="AS672" s="71"/>
      <c r="AT672" s="71"/>
      <c r="AU672" s="71"/>
      <c r="AV672" s="71"/>
      <c r="AW672" s="71"/>
      <c r="AX672" s="71"/>
      <c r="AY672" s="71"/>
      <c r="AZ672" s="54"/>
      <c r="BA672" s="71"/>
      <c r="BB672" s="54"/>
      <c r="BC672" s="73"/>
      <c r="BD672" s="71"/>
      <c r="BF672" s="89"/>
    </row>
    <row r="673" spans="1:58" s="25" customFormat="1" x14ac:dyDescent="0.3">
      <c r="A673" s="19"/>
      <c r="B673" s="74"/>
      <c r="C673" s="75"/>
      <c r="D673" s="75"/>
      <c r="E673" s="50"/>
      <c r="F673" s="51"/>
      <c r="G673" s="57"/>
      <c r="H673" s="51"/>
      <c r="I673" s="52"/>
      <c r="J673" s="76"/>
      <c r="K673" s="77"/>
      <c r="L673" s="77"/>
      <c r="M673" s="78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80"/>
      <c r="AM673" s="81"/>
      <c r="AN673" s="81"/>
      <c r="AO673" s="82"/>
      <c r="AP673" s="54"/>
      <c r="AQ673" s="71"/>
      <c r="AR673" s="71"/>
      <c r="AS673" s="71"/>
      <c r="AT673" s="71"/>
      <c r="AU673" s="71"/>
      <c r="AV673" s="71"/>
      <c r="AW673" s="71"/>
      <c r="AX673" s="71"/>
      <c r="AY673" s="71"/>
      <c r="AZ673" s="54"/>
      <c r="BA673" s="71"/>
      <c r="BB673" s="54"/>
      <c r="BC673" s="73"/>
      <c r="BD673" s="71"/>
      <c r="BF673" s="89"/>
    </row>
    <row r="674" spans="1:58" s="25" customFormat="1" x14ac:dyDescent="0.3">
      <c r="A674" s="19"/>
      <c r="B674" s="74"/>
      <c r="C674" s="75"/>
      <c r="D674" s="75"/>
      <c r="E674" s="50"/>
      <c r="F674" s="51"/>
      <c r="G674" s="57"/>
      <c r="H674" s="51"/>
      <c r="I674" s="52"/>
      <c r="J674" s="76"/>
      <c r="K674" s="77"/>
      <c r="L674" s="77"/>
      <c r="M674" s="78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80"/>
      <c r="AM674" s="81"/>
      <c r="AN674" s="81"/>
      <c r="AO674" s="82"/>
      <c r="AP674" s="54"/>
      <c r="AQ674" s="71"/>
      <c r="AR674" s="71"/>
      <c r="AS674" s="71"/>
      <c r="AT674" s="71"/>
      <c r="AU674" s="71"/>
      <c r="AV674" s="71"/>
      <c r="AW674" s="71"/>
      <c r="AX674" s="71"/>
      <c r="AY674" s="71"/>
      <c r="AZ674" s="54"/>
      <c r="BA674" s="71"/>
      <c r="BB674" s="54"/>
      <c r="BC674" s="73"/>
      <c r="BD674" s="71"/>
      <c r="BF674" s="89"/>
    </row>
    <row r="675" spans="1:58" s="25" customFormat="1" x14ac:dyDescent="0.3">
      <c r="A675" s="19"/>
      <c r="B675" s="74"/>
      <c r="C675" s="75"/>
      <c r="D675" s="75"/>
      <c r="E675" s="50"/>
      <c r="F675" s="51"/>
      <c r="G675" s="57"/>
      <c r="H675" s="51"/>
      <c r="I675" s="52"/>
      <c r="J675" s="76"/>
      <c r="K675" s="77"/>
      <c r="L675" s="77"/>
      <c r="M675" s="78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80"/>
      <c r="AM675" s="81"/>
      <c r="AN675" s="81"/>
      <c r="AO675" s="82"/>
      <c r="AP675" s="54"/>
      <c r="AQ675" s="71"/>
      <c r="AR675" s="71"/>
      <c r="AS675" s="71"/>
      <c r="AT675" s="71"/>
      <c r="AU675" s="71"/>
      <c r="AV675" s="71"/>
      <c r="AW675" s="71"/>
      <c r="AX675" s="71"/>
      <c r="AY675" s="71"/>
      <c r="AZ675" s="54"/>
      <c r="BA675" s="71"/>
      <c r="BB675" s="54"/>
      <c r="BC675" s="73"/>
      <c r="BD675" s="71"/>
      <c r="BF675" s="89"/>
    </row>
    <row r="676" spans="1:58" s="25" customFormat="1" x14ac:dyDescent="0.3">
      <c r="A676" s="19"/>
      <c r="B676" s="74"/>
      <c r="C676" s="75"/>
      <c r="D676" s="75"/>
      <c r="E676" s="50"/>
      <c r="F676" s="51"/>
      <c r="G676" s="57"/>
      <c r="H676" s="51"/>
      <c r="I676" s="52"/>
      <c r="J676" s="76"/>
      <c r="K676" s="77"/>
      <c r="L676" s="77"/>
      <c r="M676" s="78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80"/>
      <c r="AM676" s="81"/>
      <c r="AN676" s="81"/>
      <c r="AO676" s="82"/>
      <c r="AP676" s="54"/>
      <c r="AQ676" s="71"/>
      <c r="AR676" s="71"/>
      <c r="AS676" s="71"/>
      <c r="AT676" s="71"/>
      <c r="AU676" s="71"/>
      <c r="AV676" s="71"/>
      <c r="AW676" s="71"/>
      <c r="AX676" s="71"/>
      <c r="AY676" s="71"/>
      <c r="AZ676" s="54"/>
      <c r="BA676" s="71"/>
      <c r="BB676" s="54"/>
      <c r="BC676" s="73"/>
      <c r="BD676" s="71"/>
      <c r="BF676" s="89"/>
    </row>
    <row r="677" spans="1:58" s="25" customFormat="1" x14ac:dyDescent="0.3">
      <c r="A677" s="19"/>
      <c r="B677" s="74"/>
      <c r="C677" s="75"/>
      <c r="D677" s="75"/>
      <c r="E677" s="50"/>
      <c r="F677" s="51"/>
      <c r="G677" s="57"/>
      <c r="H677" s="51"/>
      <c r="I677" s="52"/>
      <c r="J677" s="76"/>
      <c r="K677" s="77"/>
      <c r="L677" s="77"/>
      <c r="M677" s="78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80"/>
      <c r="AM677" s="81"/>
      <c r="AN677" s="81"/>
      <c r="AO677" s="82"/>
      <c r="AP677" s="54"/>
      <c r="AQ677" s="71"/>
      <c r="AR677" s="71"/>
      <c r="AS677" s="71"/>
      <c r="AT677" s="71"/>
      <c r="AU677" s="71"/>
      <c r="AV677" s="71"/>
      <c r="AW677" s="71"/>
      <c r="AX677" s="71"/>
      <c r="AY677" s="71"/>
      <c r="AZ677" s="54"/>
      <c r="BA677" s="71"/>
      <c r="BB677" s="54"/>
      <c r="BC677" s="73"/>
      <c r="BD677" s="71"/>
      <c r="BF677" s="89"/>
    </row>
    <row r="678" spans="1:58" s="25" customFormat="1" x14ac:dyDescent="0.3">
      <c r="A678" s="19"/>
      <c r="B678" s="74"/>
      <c r="C678" s="75"/>
      <c r="D678" s="75"/>
      <c r="E678" s="50"/>
      <c r="F678" s="51"/>
      <c r="G678" s="57"/>
      <c r="H678" s="51"/>
      <c r="I678" s="52"/>
      <c r="J678" s="76"/>
      <c r="K678" s="77"/>
      <c r="L678" s="77"/>
      <c r="M678" s="78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80"/>
      <c r="AM678" s="81"/>
      <c r="AN678" s="81"/>
      <c r="AO678" s="82"/>
      <c r="AP678" s="54"/>
      <c r="AQ678" s="71"/>
      <c r="AR678" s="71"/>
      <c r="AS678" s="71"/>
      <c r="AT678" s="71"/>
      <c r="AU678" s="71"/>
      <c r="AV678" s="71"/>
      <c r="AW678" s="71"/>
      <c r="AX678" s="71"/>
      <c r="AY678" s="71"/>
      <c r="AZ678" s="54"/>
      <c r="BA678" s="71"/>
      <c r="BB678" s="54"/>
      <c r="BC678" s="73"/>
      <c r="BD678" s="71"/>
      <c r="BF678" s="89"/>
    </row>
    <row r="679" spans="1:58" s="25" customFormat="1" x14ac:dyDescent="0.3">
      <c r="A679" s="19"/>
      <c r="B679" s="74"/>
      <c r="C679" s="75"/>
      <c r="D679" s="75"/>
      <c r="E679" s="50"/>
      <c r="F679" s="51"/>
      <c r="G679" s="57"/>
      <c r="H679" s="51"/>
      <c r="I679" s="52"/>
      <c r="J679" s="76"/>
      <c r="K679" s="77"/>
      <c r="L679" s="77"/>
      <c r="M679" s="78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80"/>
      <c r="AM679" s="81"/>
      <c r="AN679" s="81"/>
      <c r="AO679" s="82"/>
      <c r="AP679" s="54"/>
      <c r="AQ679" s="71"/>
      <c r="AR679" s="71"/>
      <c r="AS679" s="71"/>
      <c r="AT679" s="71"/>
      <c r="AU679" s="71"/>
      <c r="AV679" s="71"/>
      <c r="AW679" s="71"/>
      <c r="AX679" s="71"/>
      <c r="AY679" s="71"/>
      <c r="AZ679" s="54"/>
      <c r="BA679" s="71"/>
      <c r="BB679" s="54"/>
      <c r="BC679" s="73"/>
      <c r="BD679" s="71"/>
      <c r="BF679" s="89"/>
    </row>
    <row r="680" spans="1:58" s="25" customFormat="1" x14ac:dyDescent="0.3">
      <c r="A680" s="19"/>
      <c r="B680" s="74"/>
      <c r="C680" s="75"/>
      <c r="D680" s="75"/>
      <c r="E680" s="50"/>
      <c r="F680" s="51"/>
      <c r="G680" s="57"/>
      <c r="H680" s="51"/>
      <c r="I680" s="52"/>
      <c r="J680" s="76"/>
      <c r="K680" s="77"/>
      <c r="L680" s="77"/>
      <c r="M680" s="78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80"/>
      <c r="AM680" s="81"/>
      <c r="AN680" s="81"/>
      <c r="AO680" s="82"/>
      <c r="AP680" s="54"/>
      <c r="AQ680" s="71"/>
      <c r="AR680" s="71"/>
      <c r="AS680" s="71"/>
      <c r="AT680" s="71"/>
      <c r="AU680" s="71"/>
      <c r="AV680" s="71"/>
      <c r="AW680" s="71"/>
      <c r="AX680" s="71"/>
      <c r="AY680" s="71"/>
      <c r="AZ680" s="54"/>
      <c r="BA680" s="71"/>
      <c r="BB680" s="54"/>
      <c r="BC680" s="73"/>
      <c r="BD680" s="71"/>
      <c r="BF680" s="89"/>
    </row>
    <row r="681" spans="1:58" s="25" customFormat="1" x14ac:dyDescent="0.3">
      <c r="A681" s="19"/>
      <c r="B681" s="74"/>
      <c r="C681" s="75"/>
      <c r="D681" s="75"/>
      <c r="E681" s="50"/>
      <c r="F681" s="51"/>
      <c r="G681" s="57"/>
      <c r="H681" s="51"/>
      <c r="I681" s="52"/>
      <c r="J681" s="76"/>
      <c r="K681" s="77"/>
      <c r="L681" s="77"/>
      <c r="M681" s="78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80"/>
      <c r="AM681" s="81"/>
      <c r="AN681" s="81"/>
      <c r="AO681" s="82"/>
      <c r="AP681" s="54"/>
      <c r="AQ681" s="71"/>
      <c r="AR681" s="71"/>
      <c r="AS681" s="71"/>
      <c r="AT681" s="71"/>
      <c r="AU681" s="71"/>
      <c r="AV681" s="71"/>
      <c r="AW681" s="71"/>
      <c r="AX681" s="71"/>
      <c r="AY681" s="71"/>
      <c r="AZ681" s="54"/>
      <c r="BA681" s="71"/>
      <c r="BB681" s="54"/>
      <c r="BC681" s="73"/>
      <c r="BD681" s="71"/>
      <c r="BF681" s="89"/>
    </row>
    <row r="682" spans="1:58" s="25" customFormat="1" x14ac:dyDescent="0.3">
      <c r="A682" s="19"/>
      <c r="B682" s="74"/>
      <c r="C682" s="75"/>
      <c r="D682" s="75"/>
      <c r="E682" s="50"/>
      <c r="F682" s="51"/>
      <c r="G682" s="57"/>
      <c r="H682" s="51"/>
      <c r="I682" s="52"/>
      <c r="J682" s="76"/>
      <c r="K682" s="77"/>
      <c r="L682" s="77"/>
      <c r="M682" s="78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80"/>
      <c r="AM682" s="81"/>
      <c r="AN682" s="81"/>
      <c r="AO682" s="82"/>
      <c r="AP682" s="54"/>
      <c r="AQ682" s="71"/>
      <c r="AR682" s="71"/>
      <c r="AS682" s="71"/>
      <c r="AT682" s="71"/>
      <c r="AU682" s="71"/>
      <c r="AV682" s="71"/>
      <c r="AW682" s="71"/>
      <c r="AX682" s="71"/>
      <c r="AY682" s="71"/>
      <c r="AZ682" s="54"/>
      <c r="BA682" s="71"/>
      <c r="BB682" s="54"/>
      <c r="BC682" s="73"/>
      <c r="BD682" s="71"/>
      <c r="BF682" s="89"/>
    </row>
    <row r="683" spans="1:58" s="25" customFormat="1" x14ac:dyDescent="0.3">
      <c r="A683" s="19"/>
      <c r="B683" s="74"/>
      <c r="C683" s="75"/>
      <c r="D683" s="75"/>
      <c r="E683" s="50"/>
      <c r="F683" s="51"/>
      <c r="G683" s="57"/>
      <c r="H683" s="51"/>
      <c r="I683" s="52"/>
      <c r="J683" s="76"/>
      <c r="K683" s="77"/>
      <c r="L683" s="77"/>
      <c r="M683" s="78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80"/>
      <c r="AM683" s="81"/>
      <c r="AN683" s="81"/>
      <c r="AO683" s="82"/>
      <c r="AP683" s="54"/>
      <c r="AQ683" s="71"/>
      <c r="AR683" s="71"/>
      <c r="AS683" s="71"/>
      <c r="AT683" s="71"/>
      <c r="AU683" s="71"/>
      <c r="AV683" s="71"/>
      <c r="AW683" s="71"/>
      <c r="AX683" s="71"/>
      <c r="AY683" s="71"/>
      <c r="AZ683" s="54"/>
      <c r="BA683" s="71"/>
      <c r="BB683" s="54"/>
      <c r="BC683" s="73"/>
      <c r="BD683" s="71"/>
      <c r="BF683" s="89"/>
    </row>
    <row r="684" spans="1:58" s="25" customFormat="1" x14ac:dyDescent="0.3">
      <c r="A684" s="19"/>
      <c r="B684" s="74"/>
      <c r="C684" s="75"/>
      <c r="D684" s="75"/>
      <c r="E684" s="50"/>
      <c r="F684" s="51"/>
      <c r="G684" s="57"/>
      <c r="H684" s="51"/>
      <c r="I684" s="52"/>
      <c r="J684" s="76"/>
      <c r="K684" s="77"/>
      <c r="L684" s="77"/>
      <c r="M684" s="78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80"/>
      <c r="AM684" s="81"/>
      <c r="AN684" s="81"/>
      <c r="AO684" s="82"/>
      <c r="AP684" s="54"/>
      <c r="AQ684" s="71"/>
      <c r="AR684" s="71"/>
      <c r="AS684" s="71"/>
      <c r="AT684" s="71"/>
      <c r="AU684" s="71"/>
      <c r="AV684" s="71"/>
      <c r="AW684" s="71"/>
      <c r="AX684" s="71"/>
      <c r="AY684" s="71"/>
      <c r="AZ684" s="54"/>
      <c r="BA684" s="71"/>
      <c r="BB684" s="54"/>
      <c r="BC684" s="54"/>
      <c r="BD684" s="71"/>
      <c r="BF684" s="89"/>
    </row>
    <row r="685" spans="1:58" s="25" customFormat="1" x14ac:dyDescent="0.3">
      <c r="A685" s="19"/>
      <c r="B685" s="74"/>
      <c r="C685" s="75"/>
      <c r="D685" s="75"/>
      <c r="E685" s="50"/>
      <c r="F685" s="51"/>
      <c r="G685" s="57"/>
      <c r="H685" s="51"/>
      <c r="I685" s="52"/>
      <c r="J685" s="76"/>
      <c r="K685" s="77"/>
      <c r="L685" s="77"/>
      <c r="M685" s="84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80"/>
      <c r="AM685" s="81"/>
      <c r="AN685" s="81"/>
      <c r="AO685" s="82"/>
      <c r="AP685" s="54"/>
      <c r="AQ685" s="71"/>
      <c r="AR685" s="71"/>
      <c r="AS685" s="72"/>
      <c r="AT685" s="71"/>
      <c r="AU685" s="71"/>
      <c r="AV685" s="71"/>
      <c r="AW685" s="71"/>
      <c r="AX685" s="71"/>
      <c r="AY685" s="71"/>
      <c r="AZ685" s="54"/>
      <c r="BA685" s="71"/>
      <c r="BB685" s="54"/>
      <c r="BC685" s="54"/>
      <c r="BD685" s="71"/>
      <c r="BF685" s="89"/>
    </row>
    <row r="686" spans="1:58" s="25" customFormat="1" x14ac:dyDescent="0.3">
      <c r="A686" s="19"/>
      <c r="B686" s="19"/>
      <c r="C686" s="50"/>
      <c r="D686" s="50"/>
      <c r="E686" s="50"/>
      <c r="F686" s="51"/>
      <c r="G686" s="57"/>
      <c r="H686" s="51"/>
      <c r="I686" s="52"/>
      <c r="J686" s="20"/>
      <c r="K686" s="21"/>
      <c r="L686" s="21"/>
      <c r="M686" s="46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60"/>
      <c r="AL686" s="59">
        <f t="shared" ref="AL686" si="0">+AD686-AK686</f>
        <v>0</v>
      </c>
      <c r="AM686" s="23">
        <v>0</v>
      </c>
      <c r="AN686" s="23">
        <f t="shared" ref="AN686" si="1">+AL686+AM686</f>
        <v>0</v>
      </c>
      <c r="AO686" s="24"/>
      <c r="AQ686" s="35"/>
      <c r="AR686" s="35"/>
      <c r="AS686" s="35"/>
      <c r="AT686" s="35"/>
      <c r="AU686" s="35"/>
      <c r="AV686" s="35"/>
      <c r="AW686" s="35"/>
      <c r="AX686" s="35"/>
      <c r="AY686" s="35"/>
      <c r="BA686" s="35"/>
      <c r="BC686" s="56"/>
      <c r="BD686" s="55"/>
    </row>
    <row r="687" spans="1:58" s="5" customFormat="1" x14ac:dyDescent="0.3">
      <c r="A687" s="9">
        <f>COUNT(A5:A686)</f>
        <v>0</v>
      </c>
      <c r="B687" s="9"/>
      <c r="C687" s="10" t="s">
        <v>1</v>
      </c>
      <c r="D687" s="10"/>
      <c r="E687" s="10"/>
      <c r="F687" s="10"/>
      <c r="G687" s="11"/>
      <c r="H687" s="11"/>
      <c r="I687" s="9"/>
      <c r="J687" s="9"/>
      <c r="K687" s="9"/>
      <c r="L687" s="9"/>
      <c r="M687" s="12"/>
      <c r="N687" s="12">
        <f t="shared" ref="N687:AN687" si="2">SUM(N5:N686)</f>
        <v>0</v>
      </c>
      <c r="O687" s="12">
        <f t="shared" si="2"/>
        <v>0</v>
      </c>
      <c r="P687" s="12">
        <f t="shared" si="2"/>
        <v>0</v>
      </c>
      <c r="Q687" s="12">
        <f t="shared" si="2"/>
        <v>0</v>
      </c>
      <c r="R687" s="12">
        <f t="shared" si="2"/>
        <v>0</v>
      </c>
      <c r="S687" s="12">
        <f t="shared" si="2"/>
        <v>0</v>
      </c>
      <c r="T687" s="12">
        <f t="shared" si="2"/>
        <v>0</v>
      </c>
      <c r="U687" s="12">
        <f t="shared" si="2"/>
        <v>0</v>
      </c>
      <c r="V687" s="12">
        <f t="shared" si="2"/>
        <v>0</v>
      </c>
      <c r="W687" s="12">
        <f t="shared" si="2"/>
        <v>0</v>
      </c>
      <c r="X687" s="12">
        <f t="shared" si="2"/>
        <v>0</v>
      </c>
      <c r="Y687" s="12">
        <f t="shared" si="2"/>
        <v>0</v>
      </c>
      <c r="Z687" s="12">
        <f t="shared" si="2"/>
        <v>0</v>
      </c>
      <c r="AA687" s="12">
        <f t="shared" si="2"/>
        <v>0</v>
      </c>
      <c r="AB687" s="12">
        <f t="shared" si="2"/>
        <v>0</v>
      </c>
      <c r="AC687" s="12">
        <f t="shared" si="2"/>
        <v>0</v>
      </c>
      <c r="AD687" s="12">
        <f t="shared" si="2"/>
        <v>0</v>
      </c>
      <c r="AE687" s="12">
        <f t="shared" si="2"/>
        <v>0</v>
      </c>
      <c r="AF687" s="12">
        <f t="shared" si="2"/>
        <v>0</v>
      </c>
      <c r="AG687" s="12">
        <f t="shared" si="2"/>
        <v>0</v>
      </c>
      <c r="AH687" s="12">
        <f t="shared" si="2"/>
        <v>0</v>
      </c>
      <c r="AI687" s="12">
        <f t="shared" si="2"/>
        <v>0</v>
      </c>
      <c r="AJ687" s="12">
        <f t="shared" si="2"/>
        <v>0</v>
      </c>
      <c r="AK687" s="12">
        <f t="shared" si="2"/>
        <v>0</v>
      </c>
      <c r="AL687" s="12">
        <f t="shared" si="2"/>
        <v>0</v>
      </c>
      <c r="AM687" s="12">
        <f t="shared" si="2"/>
        <v>0</v>
      </c>
      <c r="AN687" s="12">
        <f t="shared" si="2"/>
        <v>0</v>
      </c>
      <c r="AO687" s="12"/>
      <c r="AQ687" s="36">
        <f t="shared" ref="AQ687:AY687" si="3">SUM(AQ5:AQ686)</f>
        <v>0</v>
      </c>
      <c r="AR687" s="36">
        <f t="shared" si="3"/>
        <v>0</v>
      </c>
      <c r="AS687" s="36">
        <f t="shared" si="3"/>
        <v>0</v>
      </c>
      <c r="AT687" s="36">
        <f t="shared" si="3"/>
        <v>0</v>
      </c>
      <c r="AU687" s="36">
        <f t="shared" si="3"/>
        <v>0</v>
      </c>
      <c r="AV687" s="36">
        <f t="shared" si="3"/>
        <v>0</v>
      </c>
      <c r="AW687" s="36">
        <f t="shared" si="3"/>
        <v>0</v>
      </c>
      <c r="AX687" s="36">
        <f t="shared" si="3"/>
        <v>0</v>
      </c>
      <c r="AY687" s="36">
        <f t="shared" si="3"/>
        <v>0</v>
      </c>
      <c r="BA687" s="36">
        <f>SUM(BA5:BA686)</f>
        <v>0</v>
      </c>
      <c r="BD687" s="36">
        <f>SUM(BD5:BD686)</f>
        <v>0</v>
      </c>
    </row>
    <row r="688" spans="1:58" x14ac:dyDescent="0.3">
      <c r="AC688" s="2"/>
      <c r="AD688" s="2"/>
      <c r="AE688" s="2"/>
      <c r="AF688" s="2"/>
      <c r="AG688" s="2"/>
      <c r="AH688" s="2"/>
      <c r="AI688" s="2"/>
      <c r="AJ688" s="2"/>
      <c r="AK688" s="2"/>
      <c r="AL688" s="8"/>
    </row>
    <row r="689" spans="2:43" x14ac:dyDescent="0.3">
      <c r="B689" s="15"/>
      <c r="G689" s="3"/>
      <c r="H689" s="3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41"/>
      <c r="AF689" s="61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</row>
    <row r="690" spans="2:43" x14ac:dyDescent="0.3">
      <c r="B690" s="15"/>
      <c r="U690" s="37"/>
      <c r="V690" s="37"/>
      <c r="W690" s="37"/>
      <c r="X690" s="37"/>
      <c r="Y690" s="37"/>
      <c r="Z690" s="37"/>
      <c r="AA690" s="37"/>
      <c r="AB690" s="37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</row>
    <row r="691" spans="2:43" x14ac:dyDescent="0.3"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8"/>
      <c r="AM691" s="38"/>
      <c r="AN691" s="38"/>
      <c r="AO691" s="38"/>
      <c r="AP691" s="38"/>
      <c r="AQ691" s="38"/>
    </row>
    <row r="692" spans="2:43" x14ac:dyDescent="0.3">
      <c r="U692" s="37"/>
      <c r="V692" s="37"/>
      <c r="W692" s="37"/>
      <c r="X692" s="37"/>
      <c r="Y692" s="37"/>
      <c r="Z692" s="37"/>
      <c r="AA692" s="37"/>
      <c r="AB692" s="37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</row>
  </sheetData>
  <autoFilter ref="A4:BD687" xr:uid="{00000000-0001-0000-0000-000000000000}"/>
  <sortState xmlns:xlrd2="http://schemas.microsoft.com/office/spreadsheetml/2017/richdata2" ref="B5:BG565">
    <sortCondition ref="D5:D565"/>
    <sortCondition ref="B5:B565"/>
  </sortState>
  <mergeCells count="2">
    <mergeCell ref="AQ3:AY3"/>
    <mergeCell ref="N3:P3"/>
  </mergeCells>
  <phoneticPr fontId="13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Peehu Gahlot</cp:lastModifiedBy>
  <dcterms:created xsi:type="dcterms:W3CDTF">2015-11-27T11:43:17Z</dcterms:created>
  <dcterms:modified xsi:type="dcterms:W3CDTF">2026-08-18T19:48:19Z</dcterms:modified>
</cp:coreProperties>
</file>